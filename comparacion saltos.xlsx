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lejandro\flutter\iteracion6\"/>
    </mc:Choice>
  </mc:AlternateContent>
  <bookViews>
    <workbookView xWindow="0" yWindow="0" windowWidth="23040" windowHeight="8496" activeTab="1"/>
  </bookViews>
  <sheets>
    <sheet name="Hoja2" sheetId="2" r:id="rId1"/>
    <sheet name="Hoja3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67" i="3" l="1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M40" i="3"/>
  <c r="L40" i="3"/>
  <c r="M32" i="3"/>
  <c r="M31" i="3"/>
  <c r="M30" i="3"/>
  <c r="M29" i="3"/>
  <c r="M28" i="3"/>
  <c r="M27" i="3"/>
  <c r="M26" i="3"/>
  <c r="M25" i="3"/>
  <c r="M24" i="3"/>
  <c r="M23" i="3"/>
  <c r="L32" i="3"/>
  <c r="L31" i="3"/>
  <c r="L30" i="3"/>
  <c r="L29" i="3"/>
  <c r="L28" i="3"/>
  <c r="L27" i="3"/>
  <c r="L26" i="3"/>
  <c r="L25" i="3"/>
  <c r="L24" i="3"/>
  <c r="L23" i="3"/>
  <c r="B15" i="3"/>
  <c r="B10" i="3"/>
  <c r="B5" i="3"/>
  <c r="L116" i="2"/>
  <c r="N116" i="2" s="1"/>
  <c r="O116" i="2" s="1"/>
  <c r="I116" i="2"/>
  <c r="H116" i="2"/>
  <c r="L115" i="2"/>
  <c r="N115" i="2" s="1"/>
  <c r="O115" i="2" s="1"/>
  <c r="I115" i="2"/>
  <c r="H115" i="2"/>
  <c r="L114" i="2"/>
  <c r="N114" i="2" s="1"/>
  <c r="O114" i="2" s="1"/>
  <c r="I114" i="2"/>
  <c r="H114" i="2"/>
  <c r="L113" i="2"/>
  <c r="N113" i="2" s="1"/>
  <c r="O113" i="2" s="1"/>
  <c r="I113" i="2"/>
  <c r="H113" i="2"/>
  <c r="L112" i="2"/>
  <c r="N112" i="2" s="1"/>
  <c r="O112" i="2" s="1"/>
  <c r="I112" i="2"/>
  <c r="H112" i="2"/>
  <c r="L111" i="2"/>
  <c r="N111" i="2" s="1"/>
  <c r="O111" i="2" s="1"/>
  <c r="I111" i="2"/>
  <c r="H111" i="2"/>
  <c r="L110" i="2"/>
  <c r="N110" i="2" s="1"/>
  <c r="O110" i="2" s="1"/>
  <c r="I110" i="2"/>
  <c r="H110" i="2"/>
  <c r="L109" i="2"/>
  <c r="N109" i="2" s="1"/>
  <c r="O109" i="2" s="1"/>
  <c r="I109" i="2"/>
  <c r="H109" i="2"/>
  <c r="L108" i="2"/>
  <c r="N108" i="2" s="1"/>
  <c r="O108" i="2" s="1"/>
  <c r="I108" i="2"/>
  <c r="H108" i="2"/>
  <c r="L107" i="2"/>
  <c r="N107" i="2" s="1"/>
  <c r="O107" i="2" s="1"/>
  <c r="I107" i="2"/>
  <c r="H107" i="2"/>
  <c r="L106" i="2"/>
  <c r="N106" i="2" s="1"/>
  <c r="O106" i="2" s="1"/>
  <c r="I106" i="2"/>
  <c r="H106" i="2"/>
  <c r="L105" i="2"/>
  <c r="N105" i="2" s="1"/>
  <c r="O105" i="2" s="1"/>
  <c r="I105" i="2"/>
  <c r="H105" i="2"/>
  <c r="L104" i="2"/>
  <c r="N104" i="2" s="1"/>
  <c r="O104" i="2" s="1"/>
  <c r="I104" i="2"/>
  <c r="H104" i="2"/>
  <c r="L103" i="2"/>
  <c r="N103" i="2" s="1"/>
  <c r="O103" i="2" s="1"/>
  <c r="I103" i="2"/>
  <c r="H103" i="2"/>
  <c r="L102" i="2"/>
  <c r="N102" i="2" s="1"/>
  <c r="O102" i="2" s="1"/>
  <c r="I102" i="2"/>
  <c r="H102" i="2"/>
  <c r="L101" i="2"/>
  <c r="N101" i="2" s="1"/>
  <c r="O101" i="2" s="1"/>
  <c r="I101" i="2"/>
  <c r="H101" i="2"/>
  <c r="L100" i="2"/>
  <c r="N100" i="2" s="1"/>
  <c r="O100" i="2" s="1"/>
  <c r="I100" i="2"/>
  <c r="H100" i="2"/>
  <c r="L99" i="2"/>
  <c r="N99" i="2" s="1"/>
  <c r="O99" i="2" s="1"/>
  <c r="I99" i="2"/>
  <c r="H99" i="2"/>
  <c r="M98" i="2"/>
  <c r="L98" i="2"/>
  <c r="N98" i="2" s="1"/>
  <c r="O98" i="2" s="1"/>
  <c r="I98" i="2"/>
  <c r="H98" i="2"/>
  <c r="M97" i="2"/>
  <c r="L97" i="2"/>
  <c r="N97" i="2" s="1"/>
  <c r="O97" i="2" s="1"/>
  <c r="I97" i="2"/>
  <c r="H97" i="2"/>
  <c r="N96" i="2"/>
  <c r="O96" i="2" s="1"/>
  <c r="M96" i="2"/>
  <c r="L96" i="2"/>
  <c r="I96" i="2"/>
  <c r="H96" i="2"/>
  <c r="M95" i="2"/>
  <c r="L95" i="2"/>
  <c r="N95" i="2" s="1"/>
  <c r="O95" i="2" s="1"/>
  <c r="I95" i="2"/>
  <c r="H95" i="2"/>
  <c r="M94" i="2"/>
  <c r="L94" i="2"/>
  <c r="N94" i="2" s="1"/>
  <c r="O94" i="2" s="1"/>
  <c r="I94" i="2"/>
  <c r="H94" i="2"/>
  <c r="N93" i="2"/>
  <c r="O93" i="2" s="1"/>
  <c r="M93" i="2"/>
  <c r="L93" i="2"/>
  <c r="I93" i="2"/>
  <c r="H93" i="2"/>
  <c r="O92" i="2"/>
  <c r="N92" i="2"/>
  <c r="M92" i="2"/>
  <c r="L92" i="2"/>
  <c r="I92" i="2"/>
  <c r="H92" i="2"/>
  <c r="N91" i="2"/>
  <c r="O91" i="2" s="1"/>
  <c r="M91" i="2"/>
  <c r="L91" i="2"/>
  <c r="I91" i="2"/>
  <c r="H91" i="2"/>
  <c r="M90" i="2"/>
  <c r="L90" i="2"/>
  <c r="N90" i="2" s="1"/>
  <c r="O90" i="2" s="1"/>
  <c r="I90" i="2"/>
  <c r="H90" i="2"/>
  <c r="M89" i="2"/>
  <c r="L89" i="2"/>
  <c r="N89" i="2" s="1"/>
  <c r="O89" i="2" s="1"/>
  <c r="I89" i="2"/>
  <c r="H89" i="2"/>
  <c r="N88" i="2"/>
  <c r="O88" i="2" s="1"/>
  <c r="M88" i="2"/>
  <c r="L88" i="2"/>
  <c r="I88" i="2"/>
  <c r="H88" i="2"/>
  <c r="M87" i="2"/>
  <c r="L87" i="2"/>
  <c r="N87" i="2" s="1"/>
  <c r="O87" i="2" s="1"/>
  <c r="I87" i="2"/>
  <c r="H87" i="2"/>
  <c r="M86" i="2"/>
  <c r="L86" i="2"/>
  <c r="N86" i="2" s="1"/>
  <c r="O86" i="2" s="1"/>
  <c r="I86" i="2"/>
  <c r="H86" i="2"/>
  <c r="N85" i="2"/>
  <c r="O85" i="2" s="1"/>
  <c r="M85" i="2"/>
  <c r="L85" i="2"/>
  <c r="I85" i="2"/>
  <c r="H85" i="2"/>
  <c r="O84" i="2"/>
  <c r="N84" i="2"/>
  <c r="M84" i="2"/>
  <c r="L84" i="2"/>
  <c r="I84" i="2"/>
  <c r="H84" i="2"/>
  <c r="N83" i="2"/>
  <c r="O83" i="2" s="1"/>
  <c r="M83" i="2"/>
  <c r="L83" i="2"/>
  <c r="I83" i="2"/>
  <c r="H83" i="2"/>
  <c r="M82" i="2"/>
  <c r="L82" i="2"/>
  <c r="N82" i="2" s="1"/>
  <c r="O82" i="2" s="1"/>
  <c r="I82" i="2"/>
  <c r="H82" i="2"/>
  <c r="M81" i="2"/>
  <c r="L81" i="2"/>
  <c r="N81" i="2" s="1"/>
  <c r="O81" i="2" s="1"/>
  <c r="I81" i="2"/>
  <c r="H81" i="2"/>
  <c r="N80" i="2"/>
  <c r="O80" i="2" s="1"/>
  <c r="M80" i="2"/>
  <c r="L80" i="2"/>
  <c r="I80" i="2"/>
  <c r="H80" i="2"/>
  <c r="M79" i="2"/>
  <c r="L79" i="2"/>
  <c r="N79" i="2" s="1"/>
  <c r="O79" i="2" s="1"/>
  <c r="I79" i="2"/>
  <c r="H79" i="2"/>
  <c r="M78" i="2"/>
  <c r="L78" i="2"/>
  <c r="N78" i="2" s="1"/>
  <c r="O78" i="2" s="1"/>
  <c r="I78" i="2"/>
  <c r="H78" i="2"/>
  <c r="N77" i="2"/>
  <c r="O77" i="2" s="1"/>
  <c r="M77" i="2"/>
  <c r="L77" i="2"/>
  <c r="I77" i="2"/>
  <c r="H77" i="2"/>
  <c r="O76" i="2"/>
  <c r="N76" i="2"/>
  <c r="M76" i="2"/>
  <c r="L76" i="2"/>
  <c r="I76" i="2"/>
  <c r="H76" i="2"/>
  <c r="N75" i="2"/>
  <c r="O75" i="2" s="1"/>
  <c r="M75" i="2"/>
  <c r="L75" i="2"/>
  <c r="I75" i="2"/>
  <c r="H75" i="2"/>
  <c r="M74" i="2"/>
  <c r="L74" i="2"/>
  <c r="N74" i="2" s="1"/>
  <c r="O74" i="2" s="1"/>
  <c r="I74" i="2"/>
  <c r="H74" i="2"/>
  <c r="M73" i="2"/>
  <c r="L73" i="2"/>
  <c r="N73" i="2" s="1"/>
  <c r="O73" i="2" s="1"/>
  <c r="I73" i="2"/>
  <c r="H73" i="2"/>
  <c r="N72" i="2"/>
  <c r="O72" i="2" s="1"/>
  <c r="M72" i="2"/>
  <c r="L72" i="2"/>
  <c r="I72" i="2"/>
  <c r="H72" i="2"/>
  <c r="M71" i="2"/>
  <c r="L71" i="2"/>
  <c r="N71" i="2" s="1"/>
  <c r="O71" i="2" s="1"/>
  <c r="I71" i="2"/>
  <c r="H71" i="2"/>
  <c r="M70" i="2"/>
  <c r="L70" i="2"/>
  <c r="N70" i="2" s="1"/>
  <c r="O70" i="2" s="1"/>
  <c r="I70" i="2"/>
  <c r="H70" i="2"/>
  <c r="N69" i="2"/>
  <c r="O69" i="2" s="1"/>
  <c r="M69" i="2"/>
  <c r="L69" i="2"/>
  <c r="I69" i="2"/>
  <c r="H69" i="2"/>
  <c r="O68" i="2"/>
  <c r="N68" i="2"/>
  <c r="M68" i="2"/>
  <c r="L68" i="2"/>
  <c r="I68" i="2"/>
  <c r="H68" i="2"/>
  <c r="N67" i="2"/>
  <c r="O67" i="2" s="1"/>
  <c r="M67" i="2"/>
  <c r="L67" i="2"/>
  <c r="I67" i="2"/>
  <c r="H67" i="2"/>
  <c r="M66" i="2"/>
  <c r="L66" i="2"/>
  <c r="N66" i="2" s="1"/>
  <c r="O66" i="2" s="1"/>
  <c r="I66" i="2"/>
  <c r="H66" i="2"/>
  <c r="M65" i="2"/>
  <c r="L65" i="2"/>
  <c r="N65" i="2" s="1"/>
  <c r="O65" i="2" s="1"/>
  <c r="I65" i="2"/>
  <c r="H65" i="2"/>
  <c r="N64" i="2"/>
  <c r="O64" i="2" s="1"/>
  <c r="M64" i="2"/>
  <c r="L64" i="2"/>
  <c r="I64" i="2"/>
  <c r="H64" i="2"/>
  <c r="M63" i="2"/>
  <c r="L63" i="2"/>
  <c r="N63" i="2" s="1"/>
  <c r="O63" i="2" s="1"/>
  <c r="I63" i="2"/>
  <c r="H63" i="2"/>
  <c r="M62" i="2"/>
  <c r="L62" i="2"/>
  <c r="N62" i="2" s="1"/>
  <c r="O62" i="2" s="1"/>
  <c r="I62" i="2"/>
  <c r="H62" i="2"/>
  <c r="N61" i="2"/>
  <c r="O61" i="2" s="1"/>
  <c r="M61" i="2"/>
  <c r="L61" i="2"/>
  <c r="I61" i="2"/>
  <c r="H61" i="2"/>
  <c r="O60" i="2"/>
  <c r="N60" i="2"/>
  <c r="M60" i="2"/>
  <c r="L60" i="2"/>
  <c r="I60" i="2"/>
  <c r="H60" i="2"/>
  <c r="N59" i="2"/>
  <c r="O59" i="2" s="1"/>
  <c r="M59" i="2"/>
  <c r="L59" i="2"/>
  <c r="I59" i="2"/>
  <c r="H59" i="2"/>
  <c r="M58" i="2"/>
  <c r="L58" i="2"/>
  <c r="N58" i="2" s="1"/>
  <c r="O58" i="2" s="1"/>
  <c r="I58" i="2"/>
  <c r="H58" i="2"/>
  <c r="M57" i="2"/>
  <c r="L57" i="2"/>
  <c r="N57" i="2" s="1"/>
  <c r="O57" i="2" s="1"/>
  <c r="I57" i="2"/>
  <c r="H57" i="2"/>
  <c r="N56" i="2"/>
  <c r="O56" i="2" s="1"/>
  <c r="M56" i="2"/>
  <c r="L56" i="2"/>
  <c r="I56" i="2"/>
  <c r="H56" i="2"/>
  <c r="M55" i="2"/>
  <c r="L55" i="2"/>
  <c r="N55" i="2" s="1"/>
  <c r="O55" i="2" s="1"/>
  <c r="I55" i="2"/>
  <c r="H55" i="2"/>
  <c r="M54" i="2"/>
  <c r="L54" i="2"/>
  <c r="N54" i="2" s="1"/>
  <c r="O54" i="2" s="1"/>
  <c r="I54" i="2"/>
  <c r="H54" i="2"/>
  <c r="N53" i="2"/>
  <c r="O53" i="2" s="1"/>
  <c r="M53" i="2"/>
  <c r="L53" i="2"/>
  <c r="I53" i="2"/>
  <c r="H53" i="2"/>
  <c r="O52" i="2"/>
  <c r="N52" i="2"/>
  <c r="M52" i="2"/>
  <c r="L52" i="2"/>
  <c r="I52" i="2"/>
  <c r="H52" i="2"/>
  <c r="N51" i="2"/>
  <c r="O51" i="2" s="1"/>
  <c r="M51" i="2"/>
  <c r="L51" i="2"/>
  <c r="I51" i="2"/>
  <c r="H51" i="2"/>
  <c r="M50" i="2"/>
  <c r="L50" i="2"/>
  <c r="N50" i="2" s="1"/>
  <c r="O50" i="2" s="1"/>
  <c r="I50" i="2"/>
  <c r="H50" i="2"/>
  <c r="M49" i="2"/>
  <c r="L49" i="2"/>
  <c r="N49" i="2" s="1"/>
  <c r="O49" i="2" s="1"/>
  <c r="I49" i="2"/>
  <c r="H49" i="2"/>
  <c r="N48" i="2"/>
  <c r="O48" i="2" s="1"/>
  <c r="M48" i="2"/>
  <c r="L48" i="2"/>
  <c r="I48" i="2"/>
  <c r="H48" i="2"/>
  <c r="M47" i="2"/>
  <c r="L47" i="2"/>
  <c r="N47" i="2" s="1"/>
  <c r="O47" i="2" s="1"/>
  <c r="I47" i="2"/>
  <c r="H47" i="2"/>
  <c r="M46" i="2"/>
  <c r="L46" i="2"/>
  <c r="N46" i="2" s="1"/>
  <c r="O46" i="2" s="1"/>
  <c r="I46" i="2"/>
  <c r="H46" i="2"/>
  <c r="N45" i="2"/>
  <c r="O45" i="2" s="1"/>
  <c r="M45" i="2"/>
  <c r="L45" i="2"/>
  <c r="I45" i="2"/>
  <c r="H45" i="2"/>
  <c r="O44" i="2"/>
  <c r="N44" i="2"/>
  <c r="M44" i="2"/>
  <c r="L44" i="2"/>
  <c r="I44" i="2"/>
  <c r="H44" i="2"/>
  <c r="N43" i="2"/>
  <c r="O43" i="2" s="1"/>
  <c r="M43" i="2"/>
  <c r="L43" i="2"/>
  <c r="I43" i="2"/>
  <c r="H43" i="2"/>
  <c r="M42" i="2"/>
  <c r="L42" i="2"/>
  <c r="N42" i="2" s="1"/>
  <c r="O42" i="2" s="1"/>
  <c r="I42" i="2"/>
  <c r="H42" i="2"/>
  <c r="M41" i="2"/>
  <c r="L41" i="2"/>
  <c r="N41" i="2" s="1"/>
  <c r="O41" i="2" s="1"/>
  <c r="I41" i="2"/>
  <c r="H41" i="2"/>
  <c r="N40" i="2"/>
  <c r="O40" i="2" s="1"/>
  <c r="M40" i="2"/>
  <c r="L40" i="2"/>
  <c r="I40" i="2"/>
  <c r="H40" i="2"/>
  <c r="M39" i="2"/>
  <c r="L39" i="2"/>
  <c r="N39" i="2" s="1"/>
  <c r="O39" i="2" s="1"/>
  <c r="I39" i="2"/>
  <c r="H39" i="2"/>
  <c r="M38" i="2"/>
  <c r="L38" i="2"/>
  <c r="N38" i="2" s="1"/>
  <c r="O38" i="2" s="1"/>
  <c r="I38" i="2"/>
  <c r="H38" i="2"/>
  <c r="N37" i="2"/>
  <c r="O37" i="2" s="1"/>
  <c r="M37" i="2"/>
  <c r="L37" i="2"/>
  <c r="I37" i="2"/>
  <c r="H37" i="2"/>
  <c r="O36" i="2"/>
  <c r="N36" i="2"/>
  <c r="M36" i="2"/>
  <c r="L36" i="2"/>
  <c r="I36" i="2"/>
  <c r="H36" i="2"/>
  <c r="N35" i="2"/>
  <c r="O35" i="2" s="1"/>
  <c r="M35" i="2"/>
  <c r="L35" i="2"/>
  <c r="I35" i="2"/>
  <c r="H35" i="2"/>
  <c r="M34" i="2"/>
  <c r="L34" i="2"/>
  <c r="N34" i="2" s="1"/>
  <c r="O34" i="2" s="1"/>
  <c r="I34" i="2"/>
  <c r="H34" i="2"/>
  <c r="M33" i="2"/>
  <c r="L33" i="2"/>
  <c r="N33" i="2" s="1"/>
  <c r="O33" i="2" s="1"/>
  <c r="I33" i="2"/>
  <c r="H33" i="2"/>
  <c r="N32" i="2"/>
  <c r="O32" i="2" s="1"/>
  <c r="M32" i="2"/>
  <c r="L32" i="2"/>
  <c r="I32" i="2"/>
  <c r="H32" i="2"/>
  <c r="M31" i="2"/>
  <c r="L31" i="2"/>
  <c r="N31" i="2" s="1"/>
  <c r="O31" i="2" s="1"/>
  <c r="I31" i="2"/>
  <c r="H31" i="2"/>
  <c r="M30" i="2"/>
  <c r="L30" i="2"/>
  <c r="N30" i="2" s="1"/>
  <c r="O30" i="2" s="1"/>
  <c r="I30" i="2"/>
  <c r="H30" i="2"/>
  <c r="N29" i="2"/>
  <c r="O29" i="2" s="1"/>
  <c r="M29" i="2"/>
  <c r="L29" i="2"/>
  <c r="I29" i="2"/>
  <c r="H29" i="2"/>
  <c r="O28" i="2"/>
  <c r="N28" i="2"/>
  <c r="M28" i="2"/>
  <c r="L28" i="2"/>
  <c r="I28" i="2"/>
  <c r="H28" i="2"/>
  <c r="N27" i="2"/>
  <c r="O27" i="2" s="1"/>
  <c r="M27" i="2"/>
  <c r="L27" i="2"/>
  <c r="I27" i="2"/>
  <c r="H27" i="2"/>
  <c r="M26" i="2"/>
  <c r="L26" i="2"/>
  <c r="N26" i="2" s="1"/>
  <c r="O26" i="2" s="1"/>
  <c r="I26" i="2"/>
  <c r="H26" i="2"/>
  <c r="M25" i="2"/>
  <c r="L25" i="2"/>
  <c r="N25" i="2" s="1"/>
  <c r="O25" i="2" s="1"/>
  <c r="I25" i="2"/>
  <c r="H25" i="2"/>
  <c r="N24" i="2"/>
  <c r="O24" i="2" s="1"/>
  <c r="M24" i="2"/>
  <c r="L24" i="2"/>
  <c r="I24" i="2"/>
  <c r="H24" i="2"/>
  <c r="M23" i="2"/>
  <c r="L23" i="2"/>
  <c r="N23" i="2" s="1"/>
  <c r="O23" i="2" s="1"/>
  <c r="I23" i="2"/>
  <c r="H23" i="2"/>
  <c r="M22" i="2"/>
  <c r="L22" i="2"/>
  <c r="N22" i="2" s="1"/>
  <c r="O22" i="2" s="1"/>
  <c r="I22" i="2"/>
  <c r="H22" i="2"/>
  <c r="N21" i="2"/>
  <c r="O21" i="2" s="1"/>
  <c r="M21" i="2"/>
  <c r="L21" i="2"/>
  <c r="I21" i="2"/>
  <c r="H21" i="2"/>
  <c r="O20" i="2"/>
  <c r="N20" i="2"/>
  <c r="M20" i="2"/>
  <c r="L20" i="2"/>
  <c r="I20" i="2"/>
  <c r="H20" i="2"/>
  <c r="N19" i="2"/>
  <c r="O19" i="2" s="1"/>
  <c r="M19" i="2"/>
  <c r="L19" i="2"/>
  <c r="I19" i="2"/>
  <c r="H19" i="2"/>
  <c r="M18" i="2"/>
  <c r="L18" i="2"/>
  <c r="N18" i="2" s="1"/>
  <c r="O18" i="2" s="1"/>
  <c r="I18" i="2"/>
  <c r="H18" i="2"/>
  <c r="M17" i="2"/>
  <c r="L17" i="2"/>
  <c r="N17" i="2" s="1"/>
  <c r="O17" i="2" s="1"/>
  <c r="I17" i="2"/>
  <c r="H17" i="2"/>
  <c r="N16" i="2"/>
  <c r="O16" i="2" s="1"/>
  <c r="M16" i="2"/>
  <c r="L16" i="2"/>
  <c r="I16" i="2"/>
  <c r="H16" i="2"/>
  <c r="M15" i="2"/>
  <c r="L15" i="2"/>
  <c r="N15" i="2" s="1"/>
  <c r="O15" i="2" s="1"/>
  <c r="I15" i="2"/>
  <c r="H15" i="2"/>
  <c r="M14" i="2"/>
  <c r="L14" i="2"/>
  <c r="N14" i="2" s="1"/>
  <c r="O14" i="2" s="1"/>
  <c r="I14" i="2"/>
  <c r="H14" i="2"/>
  <c r="N13" i="2"/>
  <c r="O13" i="2" s="1"/>
  <c r="M13" i="2"/>
  <c r="L13" i="2"/>
  <c r="I13" i="2"/>
  <c r="H13" i="2"/>
  <c r="O12" i="2"/>
  <c r="N12" i="2"/>
  <c r="M12" i="2"/>
  <c r="L12" i="2"/>
  <c r="I12" i="2"/>
  <c r="H12" i="2"/>
  <c r="N11" i="2"/>
  <c r="O11" i="2" s="1"/>
  <c r="M11" i="2"/>
  <c r="L11" i="2"/>
  <c r="I11" i="2"/>
  <c r="H11" i="2"/>
  <c r="M10" i="2"/>
  <c r="L10" i="2"/>
  <c r="N10" i="2" s="1"/>
  <c r="O10" i="2" s="1"/>
  <c r="I10" i="2"/>
  <c r="H10" i="2"/>
  <c r="M9" i="2"/>
  <c r="L9" i="2"/>
  <c r="N9" i="2" s="1"/>
  <c r="O9" i="2" s="1"/>
  <c r="I9" i="2"/>
  <c r="H9" i="2"/>
  <c r="N8" i="2"/>
  <c r="O8" i="2" s="1"/>
  <c r="M8" i="2"/>
  <c r="L8" i="2"/>
  <c r="I8" i="2"/>
  <c r="H8" i="2"/>
  <c r="M7" i="2"/>
  <c r="L7" i="2"/>
  <c r="N7" i="2" s="1"/>
  <c r="O7" i="2" s="1"/>
  <c r="I7" i="2"/>
  <c r="H7" i="2"/>
  <c r="M6" i="2"/>
  <c r="L6" i="2"/>
  <c r="N6" i="2" s="1"/>
  <c r="I6" i="2"/>
  <c r="H6" i="2"/>
  <c r="N5" i="2"/>
  <c r="O5" i="2" s="1"/>
  <c r="M5" i="2"/>
  <c r="L5" i="2"/>
  <c r="I5" i="2"/>
  <c r="H5" i="2"/>
  <c r="N4" i="2"/>
  <c r="O4" i="2" s="1"/>
  <c r="M4" i="2"/>
  <c r="L4" i="2"/>
  <c r="I4" i="2"/>
  <c r="H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O6" i="2" l="1"/>
  <c r="P4" i="2"/>
</calcChain>
</file>

<file path=xl/sharedStrings.xml><?xml version="1.0" encoding="utf-8"?>
<sst xmlns="http://schemas.openxmlformats.org/spreadsheetml/2006/main" count="278" uniqueCount="232">
  <si>
    <t>software ordinador</t>
  </si>
  <si>
    <t>APP bluetooth</t>
  </si>
  <si>
    <t>SALTO</t>
  </si>
  <si>
    <t>TC</t>
  </si>
  <si>
    <t>TV</t>
  </si>
  <si>
    <t>Altura</t>
  </si>
  <si>
    <t>DIFERENCIA TC</t>
  </si>
  <si>
    <t>% diferencia</t>
  </si>
  <si>
    <t>DE dif</t>
  </si>
  <si>
    <t>336.58</t>
  </si>
  <si>
    <t>287.10</t>
  </si>
  <si>
    <t>324.31</t>
  </si>
  <si>
    <t>254.37</t>
  </si>
  <si>
    <t>342.23</t>
  </si>
  <si>
    <t>236.87</t>
  </si>
  <si>
    <t>330.62</t>
  </si>
  <si>
    <t>252.53</t>
  </si>
  <si>
    <t>323.51</t>
  </si>
  <si>
    <t>263.25</t>
  </si>
  <si>
    <t>383.62</t>
  </si>
  <si>
    <t>238.56</t>
  </si>
  <si>
    <t>335.39</t>
  </si>
  <si>
    <t>251.03</t>
  </si>
  <si>
    <t>375.94</t>
  </si>
  <si>
    <t>219.75</t>
  </si>
  <si>
    <t>342.17</t>
  </si>
  <si>
    <t>240.28</t>
  </si>
  <si>
    <t>352.94</t>
  </si>
  <si>
    <t>231.41</t>
  </si>
  <si>
    <t>346.63</t>
  </si>
  <si>
    <t>237.21</t>
  </si>
  <si>
    <t>332.44</t>
  </si>
  <si>
    <t>267.71</t>
  </si>
  <si>
    <t>340.57</t>
  </si>
  <si>
    <t>233.40</t>
  </si>
  <si>
    <t>352.71</t>
  </si>
  <si>
    <t>235.93</t>
  </si>
  <si>
    <t>361.10</t>
  </si>
  <si>
    <t>234.24</t>
  </si>
  <si>
    <t>378.58</t>
  </si>
  <si>
    <t>239.21</t>
  </si>
  <si>
    <t>320.98</t>
  </si>
  <si>
    <t>252.59</t>
  </si>
  <si>
    <t>366.50</t>
  </si>
  <si>
    <t>230.75</t>
  </si>
  <si>
    <t>373.60</t>
  </si>
  <si>
    <t>232.92</t>
  </si>
  <si>
    <t>219.49</t>
  </si>
  <si>
    <t>237.90</t>
  </si>
  <si>
    <t>240.76</t>
  </si>
  <si>
    <t>234.45</t>
  </si>
  <si>
    <t>228.69</t>
  </si>
  <si>
    <t>212.52</t>
  </si>
  <si>
    <t>213.68</t>
  </si>
  <si>
    <t>203.69</t>
  </si>
  <si>
    <t>198.87</t>
  </si>
  <si>
    <t>199.56</t>
  </si>
  <si>
    <t>196.81</t>
  </si>
  <si>
    <t>201.41</t>
  </si>
  <si>
    <t>194.30</t>
  </si>
  <si>
    <t>199.85</t>
  </si>
  <si>
    <t>201.18</t>
  </si>
  <si>
    <t>216.56</t>
  </si>
  <si>
    <t>203.81</t>
  </si>
  <si>
    <t>190.59</t>
  </si>
  <si>
    <t>195.02</t>
  </si>
  <si>
    <t>311.82</t>
  </si>
  <si>
    <t>244.75</t>
  </si>
  <si>
    <t>188.78</t>
  </si>
  <si>
    <t>283.36</t>
  </si>
  <si>
    <t>187.03</t>
  </si>
  <si>
    <t>284.38</t>
  </si>
  <si>
    <t>170.27</t>
  </si>
  <si>
    <t>281.13</t>
  </si>
  <si>
    <t>200.06</t>
  </si>
  <si>
    <t>267.45</t>
  </si>
  <si>
    <t>231.83</t>
  </si>
  <si>
    <t>238.96</t>
  </si>
  <si>
    <t>200.27</t>
  </si>
  <si>
    <t>274.99</t>
  </si>
  <si>
    <t>230.96</t>
  </si>
  <si>
    <t>259.22</t>
  </si>
  <si>
    <t>228.64</t>
  </si>
  <si>
    <t>249.59</t>
  </si>
  <si>
    <t>237.00</t>
  </si>
  <si>
    <t>247.17</t>
  </si>
  <si>
    <t>240.13</t>
  </si>
  <si>
    <t>243.19</t>
  </si>
  <si>
    <t>219.67</t>
  </si>
  <si>
    <t>245.45</t>
  </si>
  <si>
    <t>251.63</t>
  </si>
  <si>
    <t>232.87</t>
  </si>
  <si>
    <t>206.01</t>
  </si>
  <si>
    <t>267.13</t>
  </si>
  <si>
    <t>190.24</t>
  </si>
  <si>
    <t>265.75</t>
  </si>
  <si>
    <t>210.27</t>
  </si>
  <si>
    <t>261.06</t>
  </si>
  <si>
    <t>194.96</t>
  </si>
  <si>
    <t>390.79</t>
  </si>
  <si>
    <t>273.94</t>
  </si>
  <si>
    <t>548.66</t>
  </si>
  <si>
    <t>250.93</t>
  </si>
  <si>
    <t>611.24</t>
  </si>
  <si>
    <t>196.91</t>
  </si>
  <si>
    <t>86.49</t>
  </si>
  <si>
    <t>870.43</t>
  </si>
  <si>
    <t>360.64</t>
  </si>
  <si>
    <t>380.69</t>
  </si>
  <si>
    <t>128.07</t>
  </si>
  <si>
    <t>281.31</t>
  </si>
  <si>
    <t>175.75</t>
  </si>
  <si>
    <t>222.50</t>
  </si>
  <si>
    <t>395.75</t>
  </si>
  <si>
    <t>223.86</t>
  </si>
  <si>
    <t>276.15</t>
  </si>
  <si>
    <t>231.98</t>
  </si>
  <si>
    <t>218.08</t>
  </si>
  <si>
    <t>220.35</t>
  </si>
  <si>
    <t>236.91</t>
  </si>
  <si>
    <t>197.09</t>
  </si>
  <si>
    <t>330.86</t>
  </si>
  <si>
    <t>261.16</t>
  </si>
  <si>
    <t>149.88</t>
  </si>
  <si>
    <t>293.97</t>
  </si>
  <si>
    <t>89.76</t>
  </si>
  <si>
    <t>172.91</t>
  </si>
  <si>
    <t>84.63</t>
  </si>
  <si>
    <t>209.40</t>
  </si>
  <si>
    <t>141.35</t>
  </si>
  <si>
    <t>195.90</t>
  </si>
  <si>
    <t>233.00</t>
  </si>
  <si>
    <t>198.59</t>
  </si>
  <si>
    <t>368.66</t>
  </si>
  <si>
    <t>217.00</t>
  </si>
  <si>
    <t>228.82</t>
  </si>
  <si>
    <t>217.70</t>
  </si>
  <si>
    <t>241.53</t>
  </si>
  <si>
    <t>250.65</t>
  </si>
  <si>
    <t>189.17</t>
  </si>
  <si>
    <t>217.09</t>
  </si>
  <si>
    <t>250.24</t>
  </si>
  <si>
    <t>225.28</t>
  </si>
  <si>
    <t>303.23</t>
  </si>
  <si>
    <t>236.37</t>
  </si>
  <si>
    <t>189.15</t>
  </si>
  <si>
    <t>173.94</t>
  </si>
  <si>
    <t>179.74</t>
  </si>
  <si>
    <t>204.65</t>
  </si>
  <si>
    <t>229.45</t>
  </si>
  <si>
    <t>211.58</t>
  </si>
  <si>
    <t>367.15</t>
  </si>
  <si>
    <t>240.71</t>
  </si>
  <si>
    <t>301.88</t>
  </si>
  <si>
    <t>215.94</t>
  </si>
  <si>
    <t>281.63</t>
  </si>
  <si>
    <t>202.44</t>
  </si>
  <si>
    <t>271.12</t>
  </si>
  <si>
    <t>193.20</t>
  </si>
  <si>
    <t>233.70</t>
  </si>
  <si>
    <t>221.60</t>
  </si>
  <si>
    <t>155.33</t>
  </si>
  <si>
    <t>217.84</t>
  </si>
  <si>
    <t>267.17</t>
  </si>
  <si>
    <t>188.36</t>
  </si>
  <si>
    <t>241.06</t>
  </si>
  <si>
    <t>203.53</t>
  </si>
  <si>
    <t>215.02</t>
  </si>
  <si>
    <t>184.26</t>
  </si>
  <si>
    <t>209.91</t>
  </si>
  <si>
    <t>231.52</t>
  </si>
  <si>
    <t>213.16</t>
  </si>
  <si>
    <t>211.44</t>
  </si>
  <si>
    <t>260.02</t>
  </si>
  <si>
    <t>461.55</t>
  </si>
  <si>
    <t>268.04</t>
  </si>
  <si>
    <t>487.63</t>
  </si>
  <si>
    <t>317.62</t>
  </si>
  <si>
    <t>537.38</t>
  </si>
  <si>
    <t>182.13</t>
  </si>
  <si>
    <t>191.03</t>
  </si>
  <si>
    <t>189.50</t>
  </si>
  <si>
    <t>201.66</t>
  </si>
  <si>
    <t>216.83</t>
  </si>
  <si>
    <t>201.80</t>
  </si>
  <si>
    <t>211.24</t>
  </si>
  <si>
    <t>195.86</t>
  </si>
  <si>
    <t>287.17</t>
  </si>
  <si>
    <t>207.76</t>
  </si>
  <si>
    <t>254.09</t>
  </si>
  <si>
    <t>298.66</t>
  </si>
  <si>
    <t>244.57</t>
  </si>
  <si>
    <t>269.50</t>
  </si>
  <si>
    <t>318.79</t>
  </si>
  <si>
    <t>315.68</t>
  </si>
  <si>
    <t>355.11</t>
  </si>
  <si>
    <t>283.00</t>
  </si>
  <si>
    <t>SessionID</t>
  </si>
  <si>
    <t>Name</t>
  </si>
  <si>
    <t>Place</t>
  </si>
  <si>
    <t>Date</t>
  </si>
  <si>
    <t>Comments</t>
  </si>
  <si>
    <t>Plataforma BLE</t>
  </si>
  <si>
    <t>ID</t>
  </si>
  <si>
    <t>Sex</t>
  </si>
  <si>
    <t>Date of Birth</t>
  </si>
  <si>
    <t>Description</t>
  </si>
  <si>
    <t>Height</t>
  </si>
  <si>
    <t>Weight</t>
  </si>
  <si>
    <t>Xavier PadullÃ©s</t>
  </si>
  <si>
    <t>M</t>
  </si>
  <si>
    <t>Person ID</t>
  </si>
  <si>
    <t>Person name</t>
  </si>
  <si>
    <t>Session ID</t>
  </si>
  <si>
    <t>Jump ID</t>
  </si>
  <si>
    <t>jump Type</t>
  </si>
  <si>
    <t>TC Max</t>
  </si>
  <si>
    <t>TF Max</t>
  </si>
  <si>
    <t>RJ(j)</t>
  </si>
  <si>
    <t xml:space="preserve"> </t>
  </si>
  <si>
    <t>TF</t>
  </si>
  <si>
    <t>RSI</t>
  </si>
  <si>
    <t>Power</t>
  </si>
  <si>
    <t>Stiffness</t>
  </si>
  <si>
    <t>Total</t>
  </si>
  <si>
    <t>AVG</t>
  </si>
  <si>
    <t>SD</t>
  </si>
  <si>
    <t>RJ(t)</t>
  </si>
  <si>
    <t>TC(ms)</t>
  </si>
  <si>
    <t>TF(ms)</t>
  </si>
  <si>
    <t>TC(seg)</t>
  </si>
  <si>
    <t>TF(seg)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</si>
</sst>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"/>
    <numFmt numFmtId="165" formatCode="0.000"/>
    <numFmt numFmtId="166" formatCode="0.0000&quot; &quot;%"/>
  </numFmts>
  <fonts count="3">
    <font>
      <sz val="11"/>
      <color theme="1"/>
      <name val="Calibri"/>
      <family val="2"/>
      <scheme val="minor"/>
    </font>
    <font>
      <sz val="10"/>
      <color theme="1"/>
      <name val="Liberation Sans"/>
    </font>
    <font>
      <b/>
      <sz val="10"/>
      <color theme="1"/>
      <name val="Liberation Sans"/>
    </font>
  </fonts>
  <fills count="9">
    <fill>
      <patternFill patternType="none"/>
    </fill>
    <fill>
      <patternFill patternType="gray125"/>
    </fill>
    <fill>
      <patternFill patternType="solid">
        <fgColor rgb="FF729FCF"/>
        <bgColor rgb="FF729FCF"/>
      </patternFill>
    </fill>
    <fill>
      <patternFill patternType="solid">
        <fgColor rgb="FFFFFF6D"/>
        <bgColor rgb="FFFFFF6D"/>
      </patternFill>
    </fill>
    <fill>
      <patternFill patternType="solid">
        <fgColor rgb="FFB4C7DC"/>
        <bgColor rgb="FFB4C7DC"/>
      </patternFill>
    </fill>
    <fill>
      <patternFill patternType="solid">
        <fgColor rgb="FFFFFFA6"/>
        <bgColor rgb="FFFFFFA6"/>
      </patternFill>
    </fill>
    <fill>
      <patternFill patternType="solid">
        <fgColor rgb="FFFF6D6D"/>
        <bgColor rgb="FFFF6D6D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28">
    <xf numFmtId="0" fontId="0" fillId="0" borderId="0" xfId="0"/>
    <xf numFmtId="0" fontId="1" fillId="0" borderId="0" xfId="1"/>
    <xf numFmtId="0" fontId="0" fillId="0" borderId="0" xfId="1" applyFont="1" applyAlignment="1">
      <alignment horizontal="center"/>
    </xf>
    <xf numFmtId="0" fontId="2" fillId="2" borderId="0" xfId="1" applyFont="1" applyFill="1"/>
    <xf numFmtId="0" fontId="0" fillId="0" borderId="0" xfId="1" applyFont="1" applyFill="1"/>
    <xf numFmtId="0" fontId="2" fillId="3" borderId="0" xfId="1" applyFont="1" applyFill="1"/>
    <xf numFmtId="0" fontId="2" fillId="0" borderId="0" xfId="1" applyFont="1" applyAlignment="1">
      <alignment horizontal="center"/>
    </xf>
    <xf numFmtId="0" fontId="2" fillId="0" borderId="0" xfId="1" applyFont="1"/>
    <xf numFmtId="0" fontId="0" fillId="4" borderId="0" xfId="1" applyFont="1" applyFill="1"/>
    <xf numFmtId="1" fontId="0" fillId="0" borderId="0" xfId="1" applyNumberFormat="1" applyFont="1" applyFill="1"/>
    <xf numFmtId="164" fontId="0" fillId="3" borderId="0" xfId="1" applyNumberFormat="1" applyFont="1" applyFill="1"/>
    <xf numFmtId="164" fontId="0" fillId="5" borderId="0" xfId="1" applyNumberFormat="1" applyFont="1" applyFill="1"/>
    <xf numFmtId="165" fontId="2" fillId="5" borderId="0" xfId="1" applyNumberFormat="1" applyFont="1" applyFill="1"/>
    <xf numFmtId="166" fontId="0" fillId="0" borderId="0" xfId="1" applyNumberFormat="1" applyFont="1"/>
    <xf numFmtId="0" fontId="0" fillId="0" borderId="0" xfId="1" applyFont="1"/>
    <xf numFmtId="1" fontId="0" fillId="3" borderId="0" xfId="1" applyNumberFormat="1" applyFont="1" applyFill="1"/>
    <xf numFmtId="0" fontId="0" fillId="6" borderId="0" xfId="1" applyFont="1" applyFill="1"/>
    <xf numFmtId="1" fontId="0" fillId="6" borderId="0" xfId="1" applyNumberFormat="1" applyFont="1" applyFill="1"/>
    <xf numFmtId="164" fontId="0" fillId="6" borderId="0" xfId="1" applyNumberFormat="1" applyFont="1" applyFill="1"/>
    <xf numFmtId="165" fontId="0" fillId="6" borderId="0" xfId="1" applyNumberFormat="1" applyFont="1" applyFill="1"/>
    <xf numFmtId="0" fontId="0" fillId="6" borderId="0" xfId="1" applyFont="1" applyFill="1" applyAlignment="1">
      <alignment horizontal="center"/>
    </xf>
    <xf numFmtId="166" fontId="0" fillId="6" borderId="0" xfId="1" applyNumberFormat="1" applyFont="1" applyFill="1"/>
    <xf numFmtId="14" fontId="0" fillId="0" borderId="0" xfId="0" applyNumberFormat="1"/>
    <xf numFmtId="0" fontId="0" fillId="7" borderId="0" xfId="0" applyFill="1"/>
    <xf numFmtId="0" fontId="0" fillId="8" borderId="0" xfId="0" applyFill="1"/>
    <xf numFmtId="10" fontId="0" fillId="0" borderId="0" xfId="0" applyNumberFormat="1"/>
    <xf numFmtId="0" fontId="0" fillId="2" borderId="0" xfId="1" applyFont="1" applyFill="1" applyAlignment="1">
      <alignment horizontal="center" vertical="center"/>
    </xf>
    <xf numFmtId="0" fontId="0" fillId="3" borderId="0" xfId="1" applyFont="1" applyFill="1" applyAlignment="1">
      <alignment horizontal="center" vertical="center"/>
    </xf>
  </cellXfs>
  <cellStyles count="2">
    <cellStyle name="Default" xfId="1"/>
    <cellStyle name="Normal" xfId="0" builtinId="0"/>
  </cellStyles>
  <dxfs count="1">
    <dxf>
      <font>
        <b/>
        <i val="0"/>
        <color rgb="FFFFFFFF"/>
      </font>
      <fill>
        <patternFill patternType="solid">
          <fgColor rgb="FFCC0000"/>
          <bgColor rgb="FFCC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18"/>
  <sheetViews>
    <sheetView topLeftCell="B1" workbookViewId="0">
      <selection activeCell="O4" sqref="O4"/>
    </sheetView>
  </sheetViews>
  <sheetFormatPr baseColWidth="10" defaultRowHeight="14.4"/>
  <sheetData>
    <row r="2" spans="2:16">
      <c r="B2" s="1"/>
      <c r="C2" s="26" t="s">
        <v>0</v>
      </c>
      <c r="D2" s="26"/>
      <c r="E2" s="26"/>
      <c r="F2" s="1"/>
      <c r="G2" s="1"/>
      <c r="H2" s="1"/>
      <c r="I2" s="1"/>
      <c r="J2" s="1"/>
      <c r="K2" s="1"/>
      <c r="L2" s="27" t="s">
        <v>1</v>
      </c>
      <c r="M2" s="27"/>
      <c r="N2" s="2"/>
      <c r="O2" s="1"/>
      <c r="P2" s="1"/>
    </row>
    <row r="3" spans="2:16">
      <c r="B3" s="1" t="s">
        <v>2</v>
      </c>
      <c r="C3" s="3" t="s">
        <v>3</v>
      </c>
      <c r="D3" s="3" t="s">
        <v>4</v>
      </c>
      <c r="E3" s="3" t="s">
        <v>5</v>
      </c>
      <c r="F3" s="4" t="s">
        <v>3</v>
      </c>
      <c r="G3" s="4" t="s">
        <v>4</v>
      </c>
      <c r="H3" s="1"/>
      <c r="I3" s="1"/>
      <c r="J3" s="1"/>
      <c r="K3" s="1"/>
      <c r="L3" s="5" t="s">
        <v>3</v>
      </c>
      <c r="M3" s="5" t="s">
        <v>4</v>
      </c>
      <c r="N3" s="6" t="s">
        <v>6</v>
      </c>
      <c r="O3" s="7" t="s">
        <v>7</v>
      </c>
      <c r="P3" s="7" t="s">
        <v>8</v>
      </c>
    </row>
    <row r="4" spans="2:16">
      <c r="B4" s="1">
        <f>1</f>
        <v>1</v>
      </c>
      <c r="C4" s="8">
        <v>0.33700000000000002</v>
      </c>
      <c r="D4" s="8">
        <v>0.28699999999999998</v>
      </c>
      <c r="E4" s="8">
        <v>10.105</v>
      </c>
      <c r="F4" s="9" t="s">
        <v>9</v>
      </c>
      <c r="G4" s="9" t="s">
        <v>10</v>
      </c>
      <c r="H4" s="10" t="str">
        <f t="shared" ref="H4:I35" si="0">SUBSTITUTE(F4,".",",")</f>
        <v>336,58</v>
      </c>
      <c r="I4" s="10" t="str">
        <f t="shared" si="0"/>
        <v>287,10</v>
      </c>
      <c r="J4" s="11">
        <v>336.58</v>
      </c>
      <c r="K4" s="11">
        <v>287.10000000000002</v>
      </c>
      <c r="L4" s="12">
        <f t="shared" ref="L4:M35" si="1">J4/1000</f>
        <v>0.33657999999999999</v>
      </c>
      <c r="M4" s="12">
        <f t="shared" si="1"/>
        <v>0.28710000000000002</v>
      </c>
      <c r="N4" s="2">
        <f t="shared" ref="N4:N67" si="2">ABS(L4-C4)</f>
        <v>4.2000000000003146E-4</v>
      </c>
      <c r="O4" s="13">
        <f t="shared" ref="O4:O67" si="3">N4/C4</f>
        <v>1.2462908011870368E-3</v>
      </c>
      <c r="P4" s="14">
        <f>_xlfn.STDEV.S(N4:N98)</f>
        <v>3.8607398811641347E-4</v>
      </c>
    </row>
    <row r="5" spans="2:16">
      <c r="B5" s="1">
        <f t="shared" ref="B5:B68" si="4">B4+1</f>
        <v>2</v>
      </c>
      <c r="C5" s="8">
        <v>0.32400000000000001</v>
      </c>
      <c r="D5" s="8">
        <v>0.254</v>
      </c>
      <c r="E5" s="8">
        <v>7.93</v>
      </c>
      <c r="F5" s="9" t="s">
        <v>11</v>
      </c>
      <c r="G5" s="9" t="s">
        <v>12</v>
      </c>
      <c r="H5" s="10" t="str">
        <f t="shared" si="0"/>
        <v>324,31</v>
      </c>
      <c r="I5" s="10" t="str">
        <f t="shared" si="0"/>
        <v>254,37</v>
      </c>
      <c r="J5" s="11">
        <v>324.31</v>
      </c>
      <c r="K5" s="11">
        <v>254.37</v>
      </c>
      <c r="L5" s="12">
        <f t="shared" si="1"/>
        <v>0.32430999999999999</v>
      </c>
      <c r="M5" s="12">
        <f t="shared" si="1"/>
        <v>0.25436999999999999</v>
      </c>
      <c r="N5" s="2">
        <f t="shared" si="2"/>
        <v>3.0999999999997696E-4</v>
      </c>
      <c r="O5" s="13">
        <f t="shared" si="3"/>
        <v>9.5679012345671903E-4</v>
      </c>
      <c r="P5" s="14"/>
    </row>
    <row r="6" spans="2:16">
      <c r="B6" s="1">
        <f t="shared" si="4"/>
        <v>3</v>
      </c>
      <c r="C6" s="8">
        <v>0.34200000000000003</v>
      </c>
      <c r="D6" s="8">
        <v>0.23699999999999999</v>
      </c>
      <c r="E6" s="8">
        <v>6.8769999999999998</v>
      </c>
      <c r="F6" s="9" t="s">
        <v>13</v>
      </c>
      <c r="G6" s="9" t="s">
        <v>14</v>
      </c>
      <c r="H6" s="10" t="str">
        <f t="shared" si="0"/>
        <v>342,23</v>
      </c>
      <c r="I6" s="10" t="str">
        <f t="shared" si="0"/>
        <v>236,87</v>
      </c>
      <c r="J6" s="11">
        <v>342.23</v>
      </c>
      <c r="K6" s="11">
        <v>236.87</v>
      </c>
      <c r="L6" s="12">
        <f t="shared" si="1"/>
        <v>0.34223000000000003</v>
      </c>
      <c r="M6" s="12">
        <f t="shared" si="1"/>
        <v>0.23687</v>
      </c>
      <c r="N6" s="2">
        <f t="shared" si="2"/>
        <v>2.3000000000000798E-4</v>
      </c>
      <c r="O6" s="13">
        <f t="shared" si="3"/>
        <v>6.7251461988306418E-4</v>
      </c>
      <c r="P6" s="14"/>
    </row>
    <row r="7" spans="2:16">
      <c r="B7" s="1">
        <f t="shared" si="4"/>
        <v>4</v>
      </c>
      <c r="C7" s="8">
        <v>0.33100000000000002</v>
      </c>
      <c r="D7" s="8">
        <v>0.252</v>
      </c>
      <c r="E7" s="8">
        <v>7.8179999999999996</v>
      </c>
      <c r="F7" s="9" t="s">
        <v>15</v>
      </c>
      <c r="G7" s="9" t="s">
        <v>16</v>
      </c>
      <c r="H7" s="10" t="str">
        <f t="shared" si="0"/>
        <v>330,62</v>
      </c>
      <c r="I7" s="10" t="str">
        <f t="shared" si="0"/>
        <v>252,53</v>
      </c>
      <c r="J7" s="11">
        <v>330.62</v>
      </c>
      <c r="K7" s="11">
        <v>252.53</v>
      </c>
      <c r="L7" s="12">
        <f t="shared" si="1"/>
        <v>0.33062000000000002</v>
      </c>
      <c r="M7" s="12">
        <f t="shared" si="1"/>
        <v>0.25252999999999998</v>
      </c>
      <c r="N7" s="2">
        <f t="shared" si="2"/>
        <v>3.7999999999999146E-4</v>
      </c>
      <c r="O7" s="13">
        <f t="shared" si="3"/>
        <v>1.1480362537764092E-3</v>
      </c>
      <c r="P7" s="14"/>
    </row>
    <row r="8" spans="2:16">
      <c r="B8" s="1">
        <f t="shared" si="4"/>
        <v>5</v>
      </c>
      <c r="C8" s="8">
        <v>0.32400000000000001</v>
      </c>
      <c r="D8" s="8">
        <v>0.26300000000000001</v>
      </c>
      <c r="E8" s="8">
        <v>8.4969999999999999</v>
      </c>
      <c r="F8" s="9" t="s">
        <v>17</v>
      </c>
      <c r="G8" s="9" t="s">
        <v>18</v>
      </c>
      <c r="H8" s="10" t="str">
        <f t="shared" si="0"/>
        <v>323,51</v>
      </c>
      <c r="I8" s="10" t="str">
        <f t="shared" si="0"/>
        <v>263,25</v>
      </c>
      <c r="J8" s="11">
        <v>323.51</v>
      </c>
      <c r="K8" s="11">
        <v>263.25</v>
      </c>
      <c r="L8" s="12">
        <f t="shared" si="1"/>
        <v>0.32350999999999996</v>
      </c>
      <c r="M8" s="12">
        <f t="shared" si="1"/>
        <v>0.26324999999999998</v>
      </c>
      <c r="N8" s="2">
        <f t="shared" si="2"/>
        <v>4.9000000000004595E-4</v>
      </c>
      <c r="O8" s="13">
        <f t="shared" si="3"/>
        <v>1.5123456790124875E-3</v>
      </c>
      <c r="P8" s="14"/>
    </row>
    <row r="9" spans="2:16">
      <c r="B9" s="1">
        <f t="shared" si="4"/>
        <v>6</v>
      </c>
      <c r="C9" s="8">
        <v>0.38400000000000001</v>
      </c>
      <c r="D9" s="8">
        <v>0.23799999999999999</v>
      </c>
      <c r="E9" s="8">
        <v>6.9690000000000003</v>
      </c>
      <c r="F9" s="9" t="s">
        <v>19</v>
      </c>
      <c r="G9" s="9" t="s">
        <v>20</v>
      </c>
      <c r="H9" s="10" t="str">
        <f t="shared" si="0"/>
        <v>383,62</v>
      </c>
      <c r="I9" s="10" t="str">
        <f t="shared" si="0"/>
        <v>238,56</v>
      </c>
      <c r="J9" s="11">
        <v>383.62</v>
      </c>
      <c r="K9" s="11">
        <v>238.56</v>
      </c>
      <c r="L9" s="12">
        <f t="shared" si="1"/>
        <v>0.38362000000000002</v>
      </c>
      <c r="M9" s="12">
        <f t="shared" si="1"/>
        <v>0.23855999999999999</v>
      </c>
      <c r="N9" s="2">
        <f t="shared" si="2"/>
        <v>3.7999999999999146E-4</v>
      </c>
      <c r="O9" s="13">
        <f t="shared" si="3"/>
        <v>9.8958333333331108E-4</v>
      </c>
      <c r="P9" s="14"/>
    </row>
    <row r="10" spans="2:16">
      <c r="B10" s="1">
        <f t="shared" si="4"/>
        <v>7</v>
      </c>
      <c r="C10" s="8">
        <v>0.33600000000000002</v>
      </c>
      <c r="D10" s="8">
        <v>0.251</v>
      </c>
      <c r="E10" s="8">
        <v>7.726</v>
      </c>
      <c r="F10" s="9" t="s">
        <v>21</v>
      </c>
      <c r="G10" s="9" t="s">
        <v>22</v>
      </c>
      <c r="H10" s="10" t="str">
        <f t="shared" si="0"/>
        <v>335,39</v>
      </c>
      <c r="I10" s="10" t="str">
        <f t="shared" si="0"/>
        <v>251,03</v>
      </c>
      <c r="J10" s="11">
        <v>335.39</v>
      </c>
      <c r="K10" s="11">
        <v>251.03</v>
      </c>
      <c r="L10" s="12">
        <f t="shared" si="1"/>
        <v>0.33538999999999997</v>
      </c>
      <c r="M10" s="12">
        <f t="shared" si="1"/>
        <v>0.25102999999999998</v>
      </c>
      <c r="N10" s="2">
        <f t="shared" si="2"/>
        <v>6.1000000000005494E-4</v>
      </c>
      <c r="O10" s="13">
        <f t="shared" si="3"/>
        <v>1.815476190476354E-3</v>
      </c>
      <c r="P10" s="14"/>
    </row>
    <row r="11" spans="2:16">
      <c r="B11" s="1">
        <f t="shared" si="4"/>
        <v>8</v>
      </c>
      <c r="C11" s="8">
        <v>0.376</v>
      </c>
      <c r="D11" s="8">
        <v>0.22</v>
      </c>
      <c r="E11" s="8">
        <v>5.9189999999999996</v>
      </c>
      <c r="F11" s="9" t="s">
        <v>23</v>
      </c>
      <c r="G11" s="9" t="s">
        <v>24</v>
      </c>
      <c r="H11" s="10" t="str">
        <f t="shared" si="0"/>
        <v>375,94</v>
      </c>
      <c r="I11" s="10" t="str">
        <f t="shared" si="0"/>
        <v>219,75</v>
      </c>
      <c r="J11" s="11">
        <v>375.94</v>
      </c>
      <c r="K11" s="11">
        <v>219.75</v>
      </c>
      <c r="L11" s="12">
        <f t="shared" si="1"/>
        <v>0.37594</v>
      </c>
      <c r="M11" s="12">
        <f t="shared" si="1"/>
        <v>0.21975</v>
      </c>
      <c r="N11" s="2">
        <f t="shared" si="2"/>
        <v>6.0000000000004494E-5</v>
      </c>
      <c r="O11" s="13">
        <f t="shared" si="3"/>
        <v>1.5957446808511833E-4</v>
      </c>
      <c r="P11" s="14"/>
    </row>
    <row r="12" spans="2:16">
      <c r="B12" s="1">
        <f t="shared" si="4"/>
        <v>9</v>
      </c>
      <c r="C12" s="8">
        <v>0.34200000000000003</v>
      </c>
      <c r="D12" s="8">
        <v>0.24</v>
      </c>
      <c r="E12" s="8">
        <v>7.0780000000000003</v>
      </c>
      <c r="F12" s="9" t="s">
        <v>25</v>
      </c>
      <c r="G12" s="9" t="s">
        <v>26</v>
      </c>
      <c r="H12" s="15" t="str">
        <f t="shared" si="0"/>
        <v>342,17</v>
      </c>
      <c r="I12" s="15" t="str">
        <f t="shared" si="0"/>
        <v>240,28</v>
      </c>
      <c r="J12" s="11">
        <v>342.17</v>
      </c>
      <c r="K12" s="11">
        <v>240.28</v>
      </c>
      <c r="L12" s="12">
        <f t="shared" si="1"/>
        <v>0.34217000000000003</v>
      </c>
      <c r="M12" s="12">
        <f t="shared" si="1"/>
        <v>0.24027999999999999</v>
      </c>
      <c r="N12" s="2">
        <f t="shared" si="2"/>
        <v>1.7000000000000348E-4</v>
      </c>
      <c r="O12" s="13">
        <f t="shared" si="3"/>
        <v>4.9707602339182303E-4</v>
      </c>
      <c r="P12" s="14"/>
    </row>
    <row r="13" spans="2:16">
      <c r="B13" s="1">
        <f t="shared" si="4"/>
        <v>10</v>
      </c>
      <c r="C13" s="8">
        <v>0.35299999999999998</v>
      </c>
      <c r="D13" s="8">
        <v>0.23100000000000001</v>
      </c>
      <c r="E13" s="8">
        <v>6.5659999999999998</v>
      </c>
      <c r="F13" s="9" t="s">
        <v>27</v>
      </c>
      <c r="G13" s="9" t="s">
        <v>28</v>
      </c>
      <c r="H13" s="15" t="str">
        <f t="shared" si="0"/>
        <v>352,94</v>
      </c>
      <c r="I13" s="15" t="str">
        <f t="shared" si="0"/>
        <v>231,41</v>
      </c>
      <c r="J13" s="11">
        <v>352.94</v>
      </c>
      <c r="K13" s="11">
        <v>231.41</v>
      </c>
      <c r="L13" s="12">
        <f t="shared" si="1"/>
        <v>0.35293999999999998</v>
      </c>
      <c r="M13" s="12">
        <f t="shared" si="1"/>
        <v>0.23141</v>
      </c>
      <c r="N13" s="2">
        <f t="shared" si="2"/>
        <v>6.0000000000004494E-5</v>
      </c>
      <c r="O13" s="13">
        <f t="shared" si="3"/>
        <v>1.6997167138811472E-4</v>
      </c>
      <c r="P13" s="14"/>
    </row>
    <row r="14" spans="2:16">
      <c r="B14" s="1">
        <f t="shared" si="4"/>
        <v>11</v>
      </c>
      <c r="C14" s="8">
        <v>0.34699999999999998</v>
      </c>
      <c r="D14" s="8">
        <v>0.23699999999999999</v>
      </c>
      <c r="E14" s="8">
        <v>6.8979999999999997</v>
      </c>
      <c r="F14" s="9" t="s">
        <v>29</v>
      </c>
      <c r="G14" s="9" t="s">
        <v>30</v>
      </c>
      <c r="H14" s="15" t="str">
        <f t="shared" si="0"/>
        <v>346,63</v>
      </c>
      <c r="I14" s="15" t="str">
        <f t="shared" si="0"/>
        <v>237,21</v>
      </c>
      <c r="J14" s="11">
        <v>346.63</v>
      </c>
      <c r="K14" s="11">
        <v>237.21</v>
      </c>
      <c r="L14" s="12">
        <f t="shared" si="1"/>
        <v>0.34662999999999999</v>
      </c>
      <c r="M14" s="12">
        <f t="shared" si="1"/>
        <v>0.23721</v>
      </c>
      <c r="N14" s="2">
        <f t="shared" si="2"/>
        <v>3.6999999999998145E-4</v>
      </c>
      <c r="O14" s="13">
        <f t="shared" si="3"/>
        <v>1.0662824207492263E-3</v>
      </c>
      <c r="P14" s="14"/>
    </row>
    <row r="15" spans="2:16">
      <c r="B15" s="1">
        <f t="shared" si="4"/>
        <v>12</v>
      </c>
      <c r="C15" s="8">
        <v>0.33200000000000002</v>
      </c>
      <c r="D15" s="8">
        <v>0.26800000000000002</v>
      </c>
      <c r="E15" s="8">
        <v>8.7850000000000001</v>
      </c>
      <c r="F15" s="9" t="s">
        <v>31</v>
      </c>
      <c r="G15" s="9" t="s">
        <v>32</v>
      </c>
      <c r="H15" s="15" t="str">
        <f t="shared" si="0"/>
        <v>332,44</v>
      </c>
      <c r="I15" s="15" t="str">
        <f t="shared" si="0"/>
        <v>267,71</v>
      </c>
      <c r="J15" s="11">
        <v>332.44</v>
      </c>
      <c r="K15" s="11">
        <v>267.70999999999998</v>
      </c>
      <c r="L15" s="12">
        <f t="shared" si="1"/>
        <v>0.33244000000000001</v>
      </c>
      <c r="M15" s="12">
        <f t="shared" si="1"/>
        <v>0.26771</v>
      </c>
      <c r="N15" s="2">
        <f t="shared" si="2"/>
        <v>4.3999999999999595E-4</v>
      </c>
      <c r="O15" s="13">
        <f t="shared" si="3"/>
        <v>1.3253012048192649E-3</v>
      </c>
      <c r="P15" s="14"/>
    </row>
    <row r="16" spans="2:16">
      <c r="B16" s="1">
        <f t="shared" si="4"/>
        <v>13</v>
      </c>
      <c r="C16" s="8">
        <v>0.34100000000000003</v>
      </c>
      <c r="D16" s="8">
        <v>0.23300000000000001</v>
      </c>
      <c r="E16" s="8">
        <v>6.6769999999999996</v>
      </c>
      <c r="F16" s="9" t="s">
        <v>33</v>
      </c>
      <c r="G16" s="9" t="s">
        <v>34</v>
      </c>
      <c r="H16" s="15" t="str">
        <f t="shared" si="0"/>
        <v>340,57</v>
      </c>
      <c r="I16" s="15" t="str">
        <f t="shared" si="0"/>
        <v>233,40</v>
      </c>
      <c r="J16" s="11">
        <v>340.57</v>
      </c>
      <c r="K16" s="11">
        <v>233.4</v>
      </c>
      <c r="L16" s="12">
        <f t="shared" si="1"/>
        <v>0.34056999999999998</v>
      </c>
      <c r="M16" s="12">
        <f t="shared" si="1"/>
        <v>0.2334</v>
      </c>
      <c r="N16" s="2">
        <f t="shared" si="2"/>
        <v>4.3000000000004146E-4</v>
      </c>
      <c r="O16" s="13">
        <f t="shared" si="3"/>
        <v>1.2609970674488018E-3</v>
      </c>
      <c r="P16" s="14"/>
    </row>
    <row r="17" spans="2:16">
      <c r="B17" s="1">
        <f t="shared" si="4"/>
        <v>14</v>
      </c>
      <c r="C17" s="8">
        <v>0.35299999999999998</v>
      </c>
      <c r="D17" s="8">
        <v>0.23599999999999999</v>
      </c>
      <c r="E17" s="8">
        <v>6.8220000000000001</v>
      </c>
      <c r="F17" s="9" t="s">
        <v>35</v>
      </c>
      <c r="G17" s="9" t="s">
        <v>36</v>
      </c>
      <c r="H17" s="15" t="str">
        <f t="shared" si="0"/>
        <v>352,71</v>
      </c>
      <c r="I17" s="15" t="str">
        <f t="shared" si="0"/>
        <v>235,93</v>
      </c>
      <c r="J17" s="11">
        <v>352.71</v>
      </c>
      <c r="K17" s="11">
        <v>235.93</v>
      </c>
      <c r="L17" s="12">
        <f t="shared" si="1"/>
        <v>0.35270999999999997</v>
      </c>
      <c r="M17" s="12">
        <f t="shared" si="1"/>
        <v>0.23593</v>
      </c>
      <c r="N17" s="2">
        <f t="shared" si="2"/>
        <v>2.9000000000001247E-4</v>
      </c>
      <c r="O17" s="13">
        <f t="shared" si="3"/>
        <v>8.2152974504252831E-4</v>
      </c>
      <c r="P17" s="14"/>
    </row>
    <row r="18" spans="2:16">
      <c r="B18" s="1">
        <f t="shared" si="4"/>
        <v>15</v>
      </c>
      <c r="C18" s="8">
        <v>0.36099999999999999</v>
      </c>
      <c r="D18" s="8">
        <v>0.23400000000000001</v>
      </c>
      <c r="E18" s="8">
        <v>6.7229999999999999</v>
      </c>
      <c r="F18" s="9" t="s">
        <v>37</v>
      </c>
      <c r="G18" s="9" t="s">
        <v>38</v>
      </c>
      <c r="H18" s="15" t="str">
        <f t="shared" si="0"/>
        <v>361,10</v>
      </c>
      <c r="I18" s="15" t="str">
        <f t="shared" si="0"/>
        <v>234,24</v>
      </c>
      <c r="J18" s="11">
        <v>361.1</v>
      </c>
      <c r="K18" s="11">
        <v>234.24</v>
      </c>
      <c r="L18" s="12">
        <f t="shared" si="1"/>
        <v>0.36110000000000003</v>
      </c>
      <c r="M18" s="12">
        <f t="shared" si="1"/>
        <v>0.23424</v>
      </c>
      <c r="N18" s="2">
        <f t="shared" si="2"/>
        <v>1.000000000000445E-4</v>
      </c>
      <c r="O18" s="13">
        <f t="shared" si="3"/>
        <v>2.7700831024943078E-4</v>
      </c>
      <c r="P18" s="14"/>
    </row>
    <row r="19" spans="2:16">
      <c r="B19" s="1">
        <f t="shared" si="4"/>
        <v>16</v>
      </c>
      <c r="C19" s="8">
        <v>0.379</v>
      </c>
      <c r="D19" s="8">
        <v>0.23899999999999999</v>
      </c>
      <c r="E19" s="8">
        <v>7.0149999999999997</v>
      </c>
      <c r="F19" s="9" t="s">
        <v>39</v>
      </c>
      <c r="G19" s="9" t="s">
        <v>40</v>
      </c>
      <c r="H19" s="15" t="str">
        <f t="shared" si="0"/>
        <v>378,58</v>
      </c>
      <c r="I19" s="15" t="str">
        <f t="shared" si="0"/>
        <v>239,21</v>
      </c>
      <c r="J19" s="11">
        <v>378.58</v>
      </c>
      <c r="K19" s="11">
        <v>239.21</v>
      </c>
      <c r="L19" s="12">
        <f t="shared" si="1"/>
        <v>0.37857999999999997</v>
      </c>
      <c r="M19" s="12">
        <f t="shared" si="1"/>
        <v>0.23921000000000001</v>
      </c>
      <c r="N19" s="2">
        <f t="shared" si="2"/>
        <v>4.2000000000003146E-4</v>
      </c>
      <c r="O19" s="13">
        <f t="shared" si="3"/>
        <v>1.1081794195251489E-3</v>
      </c>
      <c r="P19" s="14"/>
    </row>
    <row r="20" spans="2:16">
      <c r="B20" s="1">
        <f t="shared" si="4"/>
        <v>17</v>
      </c>
      <c r="C20" s="8">
        <v>0.32100000000000001</v>
      </c>
      <c r="D20" s="8">
        <v>0.253</v>
      </c>
      <c r="E20" s="8">
        <v>7.8179999999999996</v>
      </c>
      <c r="F20" s="9" t="s">
        <v>41</v>
      </c>
      <c r="G20" s="9" t="s">
        <v>42</v>
      </c>
      <c r="H20" s="15" t="str">
        <f t="shared" si="0"/>
        <v>320,98</v>
      </c>
      <c r="I20" s="15" t="str">
        <f t="shared" si="0"/>
        <v>252,59</v>
      </c>
      <c r="J20" s="11">
        <v>320.98</v>
      </c>
      <c r="K20" s="11">
        <v>252.59</v>
      </c>
      <c r="L20" s="12">
        <f t="shared" si="1"/>
        <v>0.32098000000000004</v>
      </c>
      <c r="M20" s="12">
        <f t="shared" si="1"/>
        <v>0.25258999999999998</v>
      </c>
      <c r="N20" s="2">
        <f t="shared" si="2"/>
        <v>1.9999999999964491E-5</v>
      </c>
      <c r="O20" s="13">
        <f t="shared" si="3"/>
        <v>6.2305295950045145E-5</v>
      </c>
      <c r="P20" s="14"/>
    </row>
    <row r="21" spans="2:16">
      <c r="B21" s="1">
        <f t="shared" si="4"/>
        <v>18</v>
      </c>
      <c r="C21" s="8">
        <v>0.36699999999999999</v>
      </c>
      <c r="D21" s="8">
        <v>0.23100000000000001</v>
      </c>
      <c r="E21" s="8">
        <v>6.5259999999999998</v>
      </c>
      <c r="F21" s="9" t="s">
        <v>43</v>
      </c>
      <c r="G21" s="9" t="s">
        <v>44</v>
      </c>
      <c r="H21" s="15" t="str">
        <f t="shared" si="0"/>
        <v>366,50</v>
      </c>
      <c r="I21" s="15" t="str">
        <f t="shared" si="0"/>
        <v>230,75</v>
      </c>
      <c r="J21" s="11">
        <v>366.5</v>
      </c>
      <c r="K21" s="11">
        <v>230.75</v>
      </c>
      <c r="L21" s="12">
        <f t="shared" si="1"/>
        <v>0.36649999999999999</v>
      </c>
      <c r="M21" s="12">
        <f t="shared" si="1"/>
        <v>0.23075000000000001</v>
      </c>
      <c r="N21" s="2">
        <f t="shared" si="2"/>
        <v>5.0000000000000044E-4</v>
      </c>
      <c r="O21" s="13">
        <f t="shared" si="3"/>
        <v>1.362397820163489E-3</v>
      </c>
      <c r="P21" s="14"/>
    </row>
    <row r="22" spans="2:16">
      <c r="B22" s="1">
        <f t="shared" si="4"/>
        <v>19</v>
      </c>
      <c r="C22" s="8">
        <v>0.374</v>
      </c>
      <c r="D22" s="8">
        <v>0.23300000000000001</v>
      </c>
      <c r="E22" s="8">
        <v>6.65</v>
      </c>
      <c r="F22" s="9" t="s">
        <v>45</v>
      </c>
      <c r="G22" s="9" t="s">
        <v>46</v>
      </c>
      <c r="H22" s="15" t="str">
        <f t="shared" si="0"/>
        <v>373,60</v>
      </c>
      <c r="I22" s="15" t="str">
        <f t="shared" si="0"/>
        <v>232,92</v>
      </c>
      <c r="J22" s="11">
        <v>373.6</v>
      </c>
      <c r="K22" s="11">
        <v>232.92</v>
      </c>
      <c r="L22" s="12">
        <f t="shared" si="1"/>
        <v>0.37360000000000004</v>
      </c>
      <c r="M22" s="12">
        <f t="shared" si="1"/>
        <v>0.23291999999999999</v>
      </c>
      <c r="N22" s="2">
        <f t="shared" si="2"/>
        <v>3.9999999999995595E-4</v>
      </c>
      <c r="O22" s="13">
        <f t="shared" si="3"/>
        <v>1.0695187165774224E-3</v>
      </c>
      <c r="P22" s="14"/>
    </row>
    <row r="23" spans="2:16">
      <c r="B23" s="1">
        <f t="shared" si="4"/>
        <v>20</v>
      </c>
      <c r="C23" s="8">
        <v>0.22</v>
      </c>
      <c r="D23" s="8">
        <v>0.20100000000000001</v>
      </c>
      <c r="E23" s="8">
        <v>4.9400000000000004</v>
      </c>
      <c r="F23" s="9" t="s">
        <v>47</v>
      </c>
      <c r="G23" s="9" t="s">
        <v>10</v>
      </c>
      <c r="H23" s="15" t="str">
        <f t="shared" si="0"/>
        <v>219,49</v>
      </c>
      <c r="I23" s="15" t="str">
        <f t="shared" si="0"/>
        <v>287,10</v>
      </c>
      <c r="J23" s="11">
        <v>219.49</v>
      </c>
      <c r="K23" s="11">
        <v>287.10000000000002</v>
      </c>
      <c r="L23" s="12">
        <f t="shared" si="1"/>
        <v>0.21949000000000002</v>
      </c>
      <c r="M23" s="12">
        <f t="shared" si="1"/>
        <v>0.28710000000000002</v>
      </c>
      <c r="N23" s="2">
        <f t="shared" si="2"/>
        <v>5.0999999999998269E-4</v>
      </c>
      <c r="O23" s="13">
        <f t="shared" si="3"/>
        <v>2.3181818181817397E-3</v>
      </c>
      <c r="P23" s="14"/>
    </row>
    <row r="24" spans="2:16">
      <c r="B24" s="1">
        <f t="shared" si="4"/>
        <v>21</v>
      </c>
      <c r="C24" s="8">
        <v>0.23799999999999999</v>
      </c>
      <c r="D24" s="8">
        <v>0.20200000000000001</v>
      </c>
      <c r="E24" s="8">
        <v>5</v>
      </c>
      <c r="F24" s="9" t="s">
        <v>48</v>
      </c>
      <c r="G24" s="9" t="s">
        <v>12</v>
      </c>
      <c r="H24" s="15" t="str">
        <f t="shared" si="0"/>
        <v>237,90</v>
      </c>
      <c r="I24" s="15" t="str">
        <f t="shared" si="0"/>
        <v>254,37</v>
      </c>
      <c r="J24" s="11">
        <v>237.9</v>
      </c>
      <c r="K24" s="11">
        <v>254.37</v>
      </c>
      <c r="L24" s="12">
        <f t="shared" si="1"/>
        <v>0.2379</v>
      </c>
      <c r="M24" s="12">
        <f t="shared" si="1"/>
        <v>0.25436999999999999</v>
      </c>
      <c r="N24" s="2">
        <f t="shared" si="2"/>
        <v>9.9999999999988987E-5</v>
      </c>
      <c r="O24" s="13">
        <f t="shared" si="3"/>
        <v>4.2016806722684449E-4</v>
      </c>
      <c r="P24" s="14"/>
    </row>
    <row r="25" spans="2:16">
      <c r="B25" s="1">
        <f t="shared" si="4"/>
        <v>22</v>
      </c>
      <c r="C25" s="8">
        <v>0.24099999999999999</v>
      </c>
      <c r="D25" s="8">
        <v>0.19500000000000001</v>
      </c>
      <c r="E25" s="8">
        <v>4.6399999999999997</v>
      </c>
      <c r="F25" s="9" t="s">
        <v>49</v>
      </c>
      <c r="G25" s="9" t="s">
        <v>14</v>
      </c>
      <c r="H25" s="15" t="str">
        <f t="shared" si="0"/>
        <v>240,76</v>
      </c>
      <c r="I25" s="15" t="str">
        <f t="shared" si="0"/>
        <v>236,87</v>
      </c>
      <c r="J25" s="11">
        <v>240.76</v>
      </c>
      <c r="K25" s="11">
        <v>236.87</v>
      </c>
      <c r="L25" s="12">
        <f t="shared" si="1"/>
        <v>0.24076</v>
      </c>
      <c r="M25" s="12">
        <f t="shared" si="1"/>
        <v>0.23687</v>
      </c>
      <c r="N25" s="2">
        <f t="shared" si="2"/>
        <v>2.3999999999999022E-4</v>
      </c>
      <c r="O25" s="13">
        <f t="shared" si="3"/>
        <v>9.9585062240659843E-4</v>
      </c>
      <c r="P25" s="14"/>
    </row>
    <row r="26" spans="2:16">
      <c r="B26" s="1">
        <f t="shared" si="4"/>
        <v>23</v>
      </c>
      <c r="C26" s="8">
        <v>0.23400000000000001</v>
      </c>
      <c r="D26" s="8">
        <v>0.21</v>
      </c>
      <c r="E26" s="8">
        <v>5.3959999999999999</v>
      </c>
      <c r="F26" s="9" t="s">
        <v>50</v>
      </c>
      <c r="G26" s="9" t="s">
        <v>16</v>
      </c>
      <c r="H26" s="15" t="str">
        <f t="shared" si="0"/>
        <v>234,45</v>
      </c>
      <c r="I26" s="15" t="str">
        <f t="shared" si="0"/>
        <v>252,53</v>
      </c>
      <c r="J26" s="11">
        <v>234.45</v>
      </c>
      <c r="K26" s="11">
        <v>252.53</v>
      </c>
      <c r="L26" s="12">
        <f t="shared" si="1"/>
        <v>0.23444999999999999</v>
      </c>
      <c r="M26" s="12">
        <f t="shared" si="1"/>
        <v>0.25252999999999998</v>
      </c>
      <c r="N26" s="2">
        <f t="shared" si="2"/>
        <v>4.499999999999782E-4</v>
      </c>
      <c r="O26" s="13">
        <f t="shared" si="3"/>
        <v>1.9230769230768297E-3</v>
      </c>
      <c r="P26" s="14"/>
    </row>
    <row r="27" spans="2:16">
      <c r="B27" s="1">
        <f t="shared" si="4"/>
        <v>24</v>
      </c>
      <c r="C27" s="8">
        <v>0.22900000000000001</v>
      </c>
      <c r="D27" s="8">
        <v>0.21</v>
      </c>
      <c r="E27" s="8">
        <v>5.3920000000000003</v>
      </c>
      <c r="F27" s="9" t="s">
        <v>51</v>
      </c>
      <c r="G27" s="9" t="s">
        <v>18</v>
      </c>
      <c r="H27" s="15" t="str">
        <f t="shared" si="0"/>
        <v>228,69</v>
      </c>
      <c r="I27" s="15" t="str">
        <f t="shared" si="0"/>
        <v>263,25</v>
      </c>
      <c r="J27" s="11">
        <v>228.69</v>
      </c>
      <c r="K27" s="11">
        <v>263.25</v>
      </c>
      <c r="L27" s="12">
        <f t="shared" si="1"/>
        <v>0.22869</v>
      </c>
      <c r="M27" s="12">
        <f t="shared" si="1"/>
        <v>0.26324999999999998</v>
      </c>
      <c r="N27" s="2">
        <f t="shared" si="2"/>
        <v>3.1000000000000472E-4</v>
      </c>
      <c r="O27" s="13">
        <f t="shared" si="3"/>
        <v>1.3537117903930336E-3</v>
      </c>
      <c r="P27" s="14"/>
    </row>
    <row r="28" spans="2:16">
      <c r="B28" s="1">
        <f t="shared" si="4"/>
        <v>25</v>
      </c>
      <c r="C28" s="8">
        <v>0.21299999999999999</v>
      </c>
      <c r="D28" s="8">
        <v>0.22800000000000001</v>
      </c>
      <c r="E28" s="8">
        <v>6.399</v>
      </c>
      <c r="F28" s="9" t="s">
        <v>52</v>
      </c>
      <c r="G28" s="9" t="s">
        <v>20</v>
      </c>
      <c r="H28" s="15" t="str">
        <f t="shared" si="0"/>
        <v>212,52</v>
      </c>
      <c r="I28" s="15" t="str">
        <f t="shared" si="0"/>
        <v>238,56</v>
      </c>
      <c r="J28" s="11">
        <v>212.52</v>
      </c>
      <c r="K28" s="11">
        <v>238.56</v>
      </c>
      <c r="L28" s="12">
        <f t="shared" si="1"/>
        <v>0.21252000000000001</v>
      </c>
      <c r="M28" s="12">
        <f t="shared" si="1"/>
        <v>0.23855999999999999</v>
      </c>
      <c r="N28" s="2">
        <f t="shared" si="2"/>
        <v>4.7999999999998044E-4</v>
      </c>
      <c r="O28" s="13">
        <f t="shared" si="3"/>
        <v>2.2535211267604716E-3</v>
      </c>
      <c r="P28" s="14"/>
    </row>
    <row r="29" spans="2:16">
      <c r="B29" s="1">
        <f t="shared" si="4"/>
        <v>26</v>
      </c>
      <c r="C29" s="8">
        <v>0.214</v>
      </c>
      <c r="D29" s="8">
        <v>0.22600000000000001</v>
      </c>
      <c r="E29" s="8">
        <v>6.2430000000000003</v>
      </c>
      <c r="F29" s="9" t="s">
        <v>53</v>
      </c>
      <c r="G29" s="9" t="s">
        <v>22</v>
      </c>
      <c r="H29" s="15" t="str">
        <f t="shared" si="0"/>
        <v>213,68</v>
      </c>
      <c r="I29" s="15" t="str">
        <f t="shared" si="0"/>
        <v>251,03</v>
      </c>
      <c r="J29" s="11">
        <v>213.68</v>
      </c>
      <c r="K29" s="11">
        <v>251.03</v>
      </c>
      <c r="L29" s="12">
        <f t="shared" si="1"/>
        <v>0.21368000000000001</v>
      </c>
      <c r="M29" s="12">
        <f t="shared" si="1"/>
        <v>0.25102999999999998</v>
      </c>
      <c r="N29" s="2">
        <f t="shared" si="2"/>
        <v>3.1999999999998696E-4</v>
      </c>
      <c r="O29" s="13">
        <f t="shared" si="3"/>
        <v>1.4953271028036773E-3</v>
      </c>
      <c r="P29" s="14"/>
    </row>
    <row r="30" spans="2:16">
      <c r="B30" s="1">
        <f t="shared" si="4"/>
        <v>27</v>
      </c>
      <c r="C30" s="8">
        <v>0.20399999999999999</v>
      </c>
      <c r="D30" s="8">
        <v>0.251</v>
      </c>
      <c r="E30" s="8">
        <v>7.726</v>
      </c>
      <c r="F30" s="9" t="s">
        <v>54</v>
      </c>
      <c r="G30" s="9" t="s">
        <v>24</v>
      </c>
      <c r="H30" s="15" t="str">
        <f t="shared" si="0"/>
        <v>203,69</v>
      </c>
      <c r="I30" s="15" t="str">
        <f t="shared" si="0"/>
        <v>219,75</v>
      </c>
      <c r="J30" s="11">
        <v>203.69</v>
      </c>
      <c r="K30" s="11">
        <v>219.75</v>
      </c>
      <c r="L30" s="12">
        <f t="shared" si="1"/>
        <v>0.20369000000000001</v>
      </c>
      <c r="M30" s="12">
        <f t="shared" si="1"/>
        <v>0.21975</v>
      </c>
      <c r="N30" s="2">
        <f t="shared" si="2"/>
        <v>3.0999999999997696E-4</v>
      </c>
      <c r="O30" s="13">
        <f t="shared" si="3"/>
        <v>1.519607843137142E-3</v>
      </c>
      <c r="P30" s="14"/>
    </row>
    <row r="31" spans="2:16">
      <c r="B31" s="1">
        <f t="shared" si="4"/>
        <v>28</v>
      </c>
      <c r="C31" s="8">
        <v>0.19900000000000001</v>
      </c>
      <c r="D31" s="8">
        <v>0.252</v>
      </c>
      <c r="E31" s="8">
        <v>7.7850000000000001</v>
      </c>
      <c r="F31" s="9" t="s">
        <v>55</v>
      </c>
      <c r="G31" s="9" t="s">
        <v>26</v>
      </c>
      <c r="H31" s="15" t="str">
        <f t="shared" si="0"/>
        <v>198,87</v>
      </c>
      <c r="I31" s="15" t="str">
        <f t="shared" si="0"/>
        <v>240,28</v>
      </c>
      <c r="J31" s="11">
        <v>198.87</v>
      </c>
      <c r="K31" s="11">
        <v>240.28</v>
      </c>
      <c r="L31" s="12">
        <f t="shared" si="1"/>
        <v>0.19886999999999999</v>
      </c>
      <c r="M31" s="12">
        <f t="shared" si="1"/>
        <v>0.24027999999999999</v>
      </c>
      <c r="N31" s="2">
        <f t="shared" si="2"/>
        <v>1.3000000000001899E-4</v>
      </c>
      <c r="O31" s="13">
        <f t="shared" si="3"/>
        <v>6.5326633165838685E-4</v>
      </c>
      <c r="P31" s="14"/>
    </row>
    <row r="32" spans="2:16">
      <c r="B32" s="1">
        <f t="shared" si="4"/>
        <v>29</v>
      </c>
      <c r="C32" s="8">
        <v>0.2</v>
      </c>
      <c r="D32" s="8">
        <v>0.24</v>
      </c>
      <c r="E32" s="8">
        <v>7.05</v>
      </c>
      <c r="F32" s="9" t="s">
        <v>56</v>
      </c>
      <c r="G32" s="9" t="s">
        <v>28</v>
      </c>
      <c r="H32" s="15" t="str">
        <f t="shared" si="0"/>
        <v>199,56</v>
      </c>
      <c r="I32" s="15" t="str">
        <f t="shared" si="0"/>
        <v>231,41</v>
      </c>
      <c r="J32" s="11">
        <v>199.56</v>
      </c>
      <c r="K32" s="11">
        <v>231.41</v>
      </c>
      <c r="L32" s="12">
        <f t="shared" si="1"/>
        <v>0.19956000000000002</v>
      </c>
      <c r="M32" s="12">
        <f t="shared" si="1"/>
        <v>0.23141</v>
      </c>
      <c r="N32" s="2">
        <f t="shared" si="2"/>
        <v>4.3999999999999595E-4</v>
      </c>
      <c r="O32" s="13">
        <f t="shared" si="3"/>
        <v>2.1999999999999797E-3</v>
      </c>
      <c r="P32" s="14"/>
    </row>
    <row r="33" spans="2:16">
      <c r="B33" s="1">
        <f t="shared" si="4"/>
        <v>30</v>
      </c>
      <c r="C33" s="8">
        <v>0.19800000000000001</v>
      </c>
      <c r="D33" s="8">
        <v>0.24399999999999999</v>
      </c>
      <c r="E33" s="8">
        <v>7.3109999999999999</v>
      </c>
      <c r="F33" s="9" t="s">
        <v>57</v>
      </c>
      <c r="G33" s="9" t="s">
        <v>30</v>
      </c>
      <c r="H33" s="15" t="str">
        <f t="shared" si="0"/>
        <v>196,81</v>
      </c>
      <c r="I33" s="15" t="str">
        <f t="shared" si="0"/>
        <v>237,21</v>
      </c>
      <c r="J33" s="11">
        <v>196.81</v>
      </c>
      <c r="K33" s="11">
        <v>237.21</v>
      </c>
      <c r="L33" s="12">
        <f t="shared" si="1"/>
        <v>0.19681000000000001</v>
      </c>
      <c r="M33" s="12">
        <f t="shared" si="1"/>
        <v>0.23721</v>
      </c>
      <c r="N33" s="2">
        <f t="shared" si="2"/>
        <v>1.1899999999999966E-3</v>
      </c>
      <c r="O33" s="13">
        <f t="shared" si="3"/>
        <v>6.0101010101009924E-3</v>
      </c>
      <c r="P33" s="14"/>
    </row>
    <row r="34" spans="2:16">
      <c r="B34" s="1">
        <f t="shared" si="4"/>
        <v>31</v>
      </c>
      <c r="C34" s="8">
        <v>0.20100000000000001</v>
      </c>
      <c r="D34" s="8">
        <v>0.25</v>
      </c>
      <c r="E34" s="8">
        <v>7.6420000000000003</v>
      </c>
      <c r="F34" s="9" t="s">
        <v>58</v>
      </c>
      <c r="G34" s="9" t="s">
        <v>32</v>
      </c>
      <c r="H34" s="15" t="str">
        <f t="shared" si="0"/>
        <v>201,41</v>
      </c>
      <c r="I34" s="15" t="str">
        <f t="shared" si="0"/>
        <v>267,71</v>
      </c>
      <c r="J34" s="11">
        <v>201.41</v>
      </c>
      <c r="K34" s="11">
        <v>267.70999999999998</v>
      </c>
      <c r="L34" s="12">
        <f t="shared" si="1"/>
        <v>0.20141000000000001</v>
      </c>
      <c r="M34" s="12">
        <f t="shared" si="1"/>
        <v>0.26771</v>
      </c>
      <c r="N34" s="2">
        <f t="shared" si="2"/>
        <v>4.099999999999937E-4</v>
      </c>
      <c r="O34" s="13">
        <f t="shared" si="3"/>
        <v>2.0398009950248442E-3</v>
      </c>
      <c r="P34" s="14"/>
    </row>
    <row r="35" spans="2:16">
      <c r="B35" s="1">
        <f t="shared" si="4"/>
        <v>32</v>
      </c>
      <c r="C35" s="8">
        <v>0.19400000000000001</v>
      </c>
      <c r="D35" s="8">
        <v>0.24</v>
      </c>
      <c r="E35" s="8">
        <v>7.0460000000000003</v>
      </c>
      <c r="F35" s="9" t="s">
        <v>59</v>
      </c>
      <c r="G35" s="9" t="s">
        <v>34</v>
      </c>
      <c r="H35" s="15" t="str">
        <f t="shared" si="0"/>
        <v>194,30</v>
      </c>
      <c r="I35" s="15" t="str">
        <f t="shared" si="0"/>
        <v>233,40</v>
      </c>
      <c r="J35" s="11">
        <v>194.3</v>
      </c>
      <c r="K35" s="11">
        <v>233.4</v>
      </c>
      <c r="L35" s="12">
        <f t="shared" si="1"/>
        <v>0.1943</v>
      </c>
      <c r="M35" s="12">
        <f t="shared" si="1"/>
        <v>0.2334</v>
      </c>
      <c r="N35" s="2">
        <f t="shared" si="2"/>
        <v>2.9999999999999472E-4</v>
      </c>
      <c r="O35" s="13">
        <f t="shared" si="3"/>
        <v>1.5463917525772922E-3</v>
      </c>
      <c r="P35" s="14"/>
    </row>
    <row r="36" spans="2:16">
      <c r="B36" s="1">
        <f t="shared" si="4"/>
        <v>33</v>
      </c>
      <c r="C36" s="8">
        <v>0.2</v>
      </c>
      <c r="D36" s="8">
        <v>0.24199999999999999</v>
      </c>
      <c r="E36" s="8">
        <v>7.2009999999999996</v>
      </c>
      <c r="F36" s="9" t="s">
        <v>60</v>
      </c>
      <c r="G36" s="9" t="s">
        <v>36</v>
      </c>
      <c r="H36" s="15" t="str">
        <f t="shared" ref="H36:I67" si="5">SUBSTITUTE(F36,".",",")</f>
        <v>199,85</v>
      </c>
      <c r="I36" s="15" t="str">
        <f t="shared" si="5"/>
        <v>235,93</v>
      </c>
      <c r="J36" s="11">
        <v>199.85</v>
      </c>
      <c r="K36" s="11">
        <v>235.93</v>
      </c>
      <c r="L36" s="12">
        <f t="shared" ref="L36:M67" si="6">J36/1000</f>
        <v>0.19985</v>
      </c>
      <c r="M36" s="12">
        <f t="shared" si="6"/>
        <v>0.23593</v>
      </c>
      <c r="N36" s="2">
        <f t="shared" si="2"/>
        <v>1.5000000000001124E-4</v>
      </c>
      <c r="O36" s="13">
        <f t="shared" si="3"/>
        <v>7.5000000000005618E-4</v>
      </c>
      <c r="P36" s="14"/>
    </row>
    <row r="37" spans="2:16">
      <c r="B37" s="1">
        <f t="shared" si="4"/>
        <v>34</v>
      </c>
      <c r="C37" s="8">
        <v>0.20100000000000001</v>
      </c>
      <c r="D37" s="8">
        <v>0.23699999999999999</v>
      </c>
      <c r="E37" s="8">
        <v>6.8929999999999998</v>
      </c>
      <c r="F37" s="9" t="s">
        <v>61</v>
      </c>
      <c r="G37" s="9" t="s">
        <v>38</v>
      </c>
      <c r="H37" s="15" t="str">
        <f t="shared" si="5"/>
        <v>201,18</v>
      </c>
      <c r="I37" s="15" t="str">
        <f t="shared" si="5"/>
        <v>234,24</v>
      </c>
      <c r="J37" s="11">
        <v>201.18</v>
      </c>
      <c r="K37" s="11">
        <v>234.24</v>
      </c>
      <c r="L37" s="12">
        <f t="shared" si="6"/>
        <v>0.20118</v>
      </c>
      <c r="M37" s="12">
        <f t="shared" si="6"/>
        <v>0.23424</v>
      </c>
      <c r="N37" s="2">
        <f t="shared" si="2"/>
        <v>1.7999999999998573E-4</v>
      </c>
      <c r="O37" s="13">
        <f t="shared" si="3"/>
        <v>8.9552238805963038E-4</v>
      </c>
      <c r="P37" s="14"/>
    </row>
    <row r="38" spans="2:16">
      <c r="B38" s="1">
        <f t="shared" si="4"/>
        <v>35</v>
      </c>
      <c r="C38" s="8">
        <v>0.217</v>
      </c>
      <c r="D38" s="8">
        <v>0.23699999999999999</v>
      </c>
      <c r="E38" s="8">
        <v>6.8819999999999997</v>
      </c>
      <c r="F38" s="9" t="s">
        <v>62</v>
      </c>
      <c r="G38" s="9" t="s">
        <v>40</v>
      </c>
      <c r="H38" s="15" t="str">
        <f t="shared" si="5"/>
        <v>216,56</v>
      </c>
      <c r="I38" s="15" t="str">
        <f t="shared" si="5"/>
        <v>239,21</v>
      </c>
      <c r="J38" s="11">
        <v>216.56</v>
      </c>
      <c r="K38" s="11">
        <v>239.21</v>
      </c>
      <c r="L38" s="12">
        <f t="shared" si="6"/>
        <v>0.21656</v>
      </c>
      <c r="M38" s="12">
        <f t="shared" si="6"/>
        <v>0.23921000000000001</v>
      </c>
      <c r="N38" s="2">
        <f t="shared" si="2"/>
        <v>4.3999999999999595E-4</v>
      </c>
      <c r="O38" s="13">
        <f t="shared" si="3"/>
        <v>2.0276497695852348E-3</v>
      </c>
      <c r="P38" s="14"/>
    </row>
    <row r="39" spans="2:16">
      <c r="B39" s="1">
        <f t="shared" si="4"/>
        <v>36</v>
      </c>
      <c r="C39" s="8">
        <v>0.20399999999999999</v>
      </c>
      <c r="D39" s="8">
        <v>0.255</v>
      </c>
      <c r="E39" s="8">
        <v>7.992</v>
      </c>
      <c r="F39" s="9" t="s">
        <v>63</v>
      </c>
      <c r="G39" s="9" t="s">
        <v>42</v>
      </c>
      <c r="H39" s="15" t="str">
        <f t="shared" si="5"/>
        <v>203,81</v>
      </c>
      <c r="I39" s="15" t="str">
        <f t="shared" si="5"/>
        <v>252,59</v>
      </c>
      <c r="J39" s="11">
        <v>203.81</v>
      </c>
      <c r="K39" s="11">
        <v>252.59</v>
      </c>
      <c r="L39" s="12">
        <f t="shared" si="6"/>
        <v>0.20380999999999999</v>
      </c>
      <c r="M39" s="12">
        <f t="shared" si="6"/>
        <v>0.25258999999999998</v>
      </c>
      <c r="N39" s="2">
        <f t="shared" si="2"/>
        <v>1.8999999999999573E-4</v>
      </c>
      <c r="O39" s="13">
        <f t="shared" si="3"/>
        <v>9.3137254901958693E-4</v>
      </c>
      <c r="P39" s="14"/>
    </row>
    <row r="40" spans="2:16">
      <c r="B40" s="1">
        <f t="shared" si="4"/>
        <v>37</v>
      </c>
      <c r="C40" s="8">
        <v>0.191</v>
      </c>
      <c r="D40" s="8">
        <v>0.26600000000000001</v>
      </c>
      <c r="E40" s="8">
        <v>8.69</v>
      </c>
      <c r="F40" s="9" t="s">
        <v>64</v>
      </c>
      <c r="G40" s="9" t="s">
        <v>44</v>
      </c>
      <c r="H40" s="15" t="str">
        <f t="shared" si="5"/>
        <v>190,59</v>
      </c>
      <c r="I40" s="15" t="str">
        <f t="shared" si="5"/>
        <v>230,75</v>
      </c>
      <c r="J40" s="11">
        <v>190.59</v>
      </c>
      <c r="K40" s="11">
        <v>230.75</v>
      </c>
      <c r="L40" s="12">
        <f t="shared" si="6"/>
        <v>0.19059000000000001</v>
      </c>
      <c r="M40" s="12">
        <f t="shared" si="6"/>
        <v>0.23075000000000001</v>
      </c>
      <c r="N40" s="2">
        <f t="shared" si="2"/>
        <v>4.099999999999937E-4</v>
      </c>
      <c r="O40" s="13">
        <f t="shared" si="3"/>
        <v>2.1465968586387107E-3</v>
      </c>
      <c r="P40" s="14"/>
    </row>
    <row r="41" spans="2:16">
      <c r="B41" s="1">
        <f t="shared" si="4"/>
        <v>38</v>
      </c>
      <c r="C41" s="8">
        <v>0.19500000000000001</v>
      </c>
      <c r="D41" s="8">
        <v>0.27500000000000002</v>
      </c>
      <c r="E41" s="8">
        <v>9.2469999999999999</v>
      </c>
      <c r="F41" s="9" t="s">
        <v>65</v>
      </c>
      <c r="G41" s="9" t="s">
        <v>46</v>
      </c>
      <c r="H41" s="15" t="str">
        <f t="shared" si="5"/>
        <v>195,02</v>
      </c>
      <c r="I41" s="15" t="str">
        <f t="shared" si="5"/>
        <v>232,92</v>
      </c>
      <c r="J41" s="11">
        <v>195.02</v>
      </c>
      <c r="K41" s="11">
        <v>232.92</v>
      </c>
      <c r="L41" s="12">
        <f t="shared" si="6"/>
        <v>0.19502</v>
      </c>
      <c r="M41" s="12">
        <f t="shared" si="6"/>
        <v>0.23291999999999999</v>
      </c>
      <c r="N41" s="2">
        <f t="shared" si="2"/>
        <v>1.9999999999992246E-5</v>
      </c>
      <c r="O41" s="13">
        <f t="shared" si="3"/>
        <v>1.025641025640628E-4</v>
      </c>
      <c r="P41" s="14"/>
    </row>
    <row r="42" spans="2:16">
      <c r="B42" s="1">
        <f t="shared" si="4"/>
        <v>39</v>
      </c>
      <c r="C42" s="8">
        <v>0.312</v>
      </c>
      <c r="D42" s="8">
        <v>0.245</v>
      </c>
      <c r="E42" s="8">
        <v>7.343</v>
      </c>
      <c r="F42" s="9" t="s">
        <v>66</v>
      </c>
      <c r="G42" s="9" t="s">
        <v>67</v>
      </c>
      <c r="H42" s="15" t="str">
        <f t="shared" si="5"/>
        <v>311,82</v>
      </c>
      <c r="I42" s="15" t="str">
        <f t="shared" si="5"/>
        <v>244,75</v>
      </c>
      <c r="J42" s="11">
        <v>311.82</v>
      </c>
      <c r="K42" s="11">
        <v>244.75</v>
      </c>
      <c r="L42" s="12">
        <f t="shared" si="6"/>
        <v>0.31181999999999999</v>
      </c>
      <c r="M42" s="12">
        <f t="shared" si="6"/>
        <v>0.24475</v>
      </c>
      <c r="N42" s="2">
        <f t="shared" si="2"/>
        <v>1.8000000000001348E-4</v>
      </c>
      <c r="O42" s="13">
        <f t="shared" si="3"/>
        <v>5.7692307692312013E-4</v>
      </c>
      <c r="P42" s="14"/>
    </row>
    <row r="43" spans="2:16">
      <c r="B43" s="1">
        <f t="shared" si="4"/>
        <v>40</v>
      </c>
      <c r="C43" s="8">
        <v>0.189</v>
      </c>
      <c r="D43" s="8">
        <v>0.28299999999999997</v>
      </c>
      <c r="E43" s="8">
        <v>9.843</v>
      </c>
      <c r="F43" s="9" t="s">
        <v>68</v>
      </c>
      <c r="G43" s="9" t="s">
        <v>69</v>
      </c>
      <c r="H43" s="15" t="str">
        <f t="shared" si="5"/>
        <v>188,78</v>
      </c>
      <c r="I43" s="15" t="str">
        <f t="shared" si="5"/>
        <v>283,36</v>
      </c>
      <c r="J43" s="11">
        <v>188.78</v>
      </c>
      <c r="K43" s="11">
        <v>283.36</v>
      </c>
      <c r="L43" s="12">
        <f t="shared" si="6"/>
        <v>0.18878</v>
      </c>
      <c r="M43" s="12">
        <f t="shared" si="6"/>
        <v>0.28336</v>
      </c>
      <c r="N43" s="2">
        <f t="shared" si="2"/>
        <v>2.1999999999999797E-4</v>
      </c>
      <c r="O43" s="13">
        <f t="shared" si="3"/>
        <v>1.1640211640211533E-3</v>
      </c>
      <c r="P43" s="14"/>
    </row>
    <row r="44" spans="2:16">
      <c r="B44" s="1">
        <f t="shared" si="4"/>
        <v>41</v>
      </c>
      <c r="C44" s="8">
        <v>0.187</v>
      </c>
      <c r="D44" s="8">
        <v>0.28399999999999997</v>
      </c>
      <c r="E44" s="8">
        <v>9.9130000000000003</v>
      </c>
      <c r="F44" s="9" t="s">
        <v>70</v>
      </c>
      <c r="G44" s="9" t="s">
        <v>71</v>
      </c>
      <c r="H44" s="15" t="str">
        <f t="shared" si="5"/>
        <v>187,03</v>
      </c>
      <c r="I44" s="15" t="str">
        <f t="shared" si="5"/>
        <v>284,38</v>
      </c>
      <c r="J44" s="11">
        <v>187.03</v>
      </c>
      <c r="K44" s="11">
        <v>284.38</v>
      </c>
      <c r="L44" s="12">
        <f t="shared" si="6"/>
        <v>0.18703</v>
      </c>
      <c r="M44" s="12">
        <f t="shared" si="6"/>
        <v>0.28438000000000002</v>
      </c>
      <c r="N44" s="2">
        <f t="shared" si="2"/>
        <v>3.0000000000002247E-5</v>
      </c>
      <c r="O44" s="13">
        <f t="shared" si="3"/>
        <v>1.6042780748664302E-4</v>
      </c>
      <c r="P44" s="14"/>
    </row>
    <row r="45" spans="2:16">
      <c r="B45" s="1">
        <f t="shared" si="4"/>
        <v>42</v>
      </c>
      <c r="C45" s="8">
        <v>0.17</v>
      </c>
      <c r="D45" s="8">
        <v>0.28100000000000003</v>
      </c>
      <c r="E45" s="8">
        <v>9.6890000000000001</v>
      </c>
      <c r="F45" s="9" t="s">
        <v>72</v>
      </c>
      <c r="G45" s="9" t="s">
        <v>73</v>
      </c>
      <c r="H45" s="15" t="str">
        <f t="shared" si="5"/>
        <v>170,27</v>
      </c>
      <c r="I45" s="15" t="str">
        <f t="shared" si="5"/>
        <v>281,13</v>
      </c>
      <c r="J45" s="11">
        <v>170.27</v>
      </c>
      <c r="K45" s="11">
        <v>281.13</v>
      </c>
      <c r="L45" s="12">
        <f t="shared" si="6"/>
        <v>0.17027</v>
      </c>
      <c r="M45" s="12">
        <f t="shared" si="6"/>
        <v>0.28112999999999999</v>
      </c>
      <c r="N45" s="2">
        <f t="shared" si="2"/>
        <v>2.6999999999999247E-4</v>
      </c>
      <c r="O45" s="13">
        <f t="shared" si="3"/>
        <v>1.5882352941176026E-3</v>
      </c>
      <c r="P45" s="14"/>
    </row>
    <row r="46" spans="2:16">
      <c r="B46" s="1">
        <f t="shared" si="4"/>
        <v>43</v>
      </c>
      <c r="C46" s="8">
        <v>0.2</v>
      </c>
      <c r="D46" s="8">
        <v>0.26700000000000002</v>
      </c>
      <c r="E46" s="8">
        <v>8.7680000000000007</v>
      </c>
      <c r="F46" s="9" t="s">
        <v>74</v>
      </c>
      <c r="G46" s="9" t="s">
        <v>75</v>
      </c>
      <c r="H46" s="15" t="str">
        <f t="shared" si="5"/>
        <v>200,06</v>
      </c>
      <c r="I46" s="15" t="str">
        <f t="shared" si="5"/>
        <v>267,45</v>
      </c>
      <c r="J46" s="11">
        <v>200.06</v>
      </c>
      <c r="K46" s="11">
        <v>267.45</v>
      </c>
      <c r="L46" s="12">
        <f t="shared" si="6"/>
        <v>0.20006000000000002</v>
      </c>
      <c r="M46" s="12">
        <f t="shared" si="6"/>
        <v>0.26744999999999997</v>
      </c>
      <c r="N46" s="2">
        <f t="shared" si="2"/>
        <v>6.0000000000004494E-5</v>
      </c>
      <c r="O46" s="13">
        <f t="shared" si="3"/>
        <v>3.0000000000002247E-4</v>
      </c>
      <c r="P46" s="14"/>
    </row>
    <row r="47" spans="2:16">
      <c r="B47" s="1">
        <f t="shared" si="4"/>
        <v>44</v>
      </c>
      <c r="C47" s="8">
        <v>0.23200000000000001</v>
      </c>
      <c r="D47" s="8">
        <v>0.23899999999999999</v>
      </c>
      <c r="E47" s="8">
        <v>7</v>
      </c>
      <c r="F47" s="9" t="s">
        <v>76</v>
      </c>
      <c r="G47" s="9" t="s">
        <v>77</v>
      </c>
      <c r="H47" s="15" t="str">
        <f t="shared" si="5"/>
        <v>231,83</v>
      </c>
      <c r="I47" s="15" t="str">
        <f t="shared" si="5"/>
        <v>238,96</v>
      </c>
      <c r="J47" s="11">
        <v>231.83</v>
      </c>
      <c r="K47" s="11">
        <v>238.96</v>
      </c>
      <c r="L47" s="12">
        <f t="shared" si="6"/>
        <v>0.23183000000000001</v>
      </c>
      <c r="M47" s="12">
        <f t="shared" si="6"/>
        <v>0.23896000000000001</v>
      </c>
      <c r="N47" s="2">
        <f t="shared" si="2"/>
        <v>1.7000000000000348E-4</v>
      </c>
      <c r="O47" s="13">
        <f t="shared" si="3"/>
        <v>7.3275862068967015E-4</v>
      </c>
      <c r="P47" s="14"/>
    </row>
    <row r="48" spans="2:16">
      <c r="B48" s="1">
        <f t="shared" si="4"/>
        <v>45</v>
      </c>
      <c r="C48" s="8">
        <v>0.2</v>
      </c>
      <c r="D48" s="8">
        <v>0.27500000000000002</v>
      </c>
      <c r="E48" s="8">
        <v>9.27</v>
      </c>
      <c r="F48" s="9" t="s">
        <v>78</v>
      </c>
      <c r="G48" s="9" t="s">
        <v>79</v>
      </c>
      <c r="H48" s="15" t="str">
        <f t="shared" si="5"/>
        <v>200,27</v>
      </c>
      <c r="I48" s="15" t="str">
        <f t="shared" si="5"/>
        <v>274,99</v>
      </c>
      <c r="J48" s="11">
        <v>200.27</v>
      </c>
      <c r="K48" s="11">
        <v>274.99</v>
      </c>
      <c r="L48" s="12">
        <f t="shared" si="6"/>
        <v>0.20027</v>
      </c>
      <c r="M48" s="12">
        <f t="shared" si="6"/>
        <v>0.27499000000000001</v>
      </c>
      <c r="N48" s="2">
        <f t="shared" si="2"/>
        <v>2.6999999999999247E-4</v>
      </c>
      <c r="O48" s="13">
        <f t="shared" si="3"/>
        <v>1.3499999999999623E-3</v>
      </c>
      <c r="P48" s="14"/>
    </row>
    <row r="49" spans="2:16">
      <c r="B49" s="1">
        <f t="shared" si="4"/>
        <v>46</v>
      </c>
      <c r="C49" s="8">
        <v>0.23100000000000001</v>
      </c>
      <c r="D49" s="8">
        <v>0.25900000000000001</v>
      </c>
      <c r="E49" s="8">
        <v>8.2390000000000008</v>
      </c>
      <c r="F49" s="9" t="s">
        <v>80</v>
      </c>
      <c r="G49" s="9" t="s">
        <v>81</v>
      </c>
      <c r="H49" s="15" t="str">
        <f t="shared" si="5"/>
        <v>230,96</v>
      </c>
      <c r="I49" s="15" t="str">
        <f t="shared" si="5"/>
        <v>259,22</v>
      </c>
      <c r="J49" s="11">
        <v>230.96</v>
      </c>
      <c r="K49" s="11">
        <v>259.22000000000003</v>
      </c>
      <c r="L49" s="12">
        <f t="shared" si="6"/>
        <v>0.23096</v>
      </c>
      <c r="M49" s="12">
        <f t="shared" si="6"/>
        <v>0.25922000000000001</v>
      </c>
      <c r="N49" s="2">
        <f t="shared" si="2"/>
        <v>4.0000000000012248E-5</v>
      </c>
      <c r="O49" s="13">
        <f t="shared" si="3"/>
        <v>1.7316017316022618E-4</v>
      </c>
      <c r="P49" s="14"/>
    </row>
    <row r="50" spans="2:16">
      <c r="B50" s="1">
        <f t="shared" si="4"/>
        <v>47</v>
      </c>
      <c r="C50" s="8">
        <v>0.22900000000000001</v>
      </c>
      <c r="D50" s="8">
        <v>0.25</v>
      </c>
      <c r="E50" s="8">
        <v>7.6369999999999996</v>
      </c>
      <c r="F50" s="9" t="s">
        <v>82</v>
      </c>
      <c r="G50" s="9" t="s">
        <v>83</v>
      </c>
      <c r="H50" s="15" t="str">
        <f t="shared" si="5"/>
        <v>228,64</v>
      </c>
      <c r="I50" s="15" t="str">
        <f t="shared" si="5"/>
        <v>249,59</v>
      </c>
      <c r="J50" s="11">
        <v>228.64</v>
      </c>
      <c r="K50" s="11">
        <v>249.59</v>
      </c>
      <c r="L50" s="12">
        <f t="shared" si="6"/>
        <v>0.22863999999999998</v>
      </c>
      <c r="M50" s="12">
        <f t="shared" si="6"/>
        <v>0.24959000000000001</v>
      </c>
      <c r="N50" s="2">
        <f t="shared" si="2"/>
        <v>3.6000000000002697E-4</v>
      </c>
      <c r="O50" s="13">
        <f t="shared" si="3"/>
        <v>1.5720524017468426E-3</v>
      </c>
      <c r="P50" s="14"/>
    </row>
    <row r="51" spans="2:16">
      <c r="B51" s="1">
        <f t="shared" si="4"/>
        <v>48</v>
      </c>
      <c r="C51" s="8">
        <v>0.23699999999999999</v>
      </c>
      <c r="D51" s="8">
        <v>0.247</v>
      </c>
      <c r="E51" s="8">
        <v>7.49</v>
      </c>
      <c r="F51" s="9" t="s">
        <v>84</v>
      </c>
      <c r="G51" s="9" t="s">
        <v>85</v>
      </c>
      <c r="H51" s="15" t="str">
        <f t="shared" si="5"/>
        <v>237,00</v>
      </c>
      <c r="I51" s="15" t="str">
        <f t="shared" si="5"/>
        <v>247,17</v>
      </c>
      <c r="J51" s="11">
        <v>237</v>
      </c>
      <c r="K51" s="11">
        <v>247.17</v>
      </c>
      <c r="L51" s="12">
        <f t="shared" si="6"/>
        <v>0.23699999999999999</v>
      </c>
      <c r="M51" s="12">
        <f t="shared" si="6"/>
        <v>0.24717</v>
      </c>
      <c r="N51" s="2">
        <f t="shared" si="2"/>
        <v>0</v>
      </c>
      <c r="O51" s="13">
        <f t="shared" si="3"/>
        <v>0</v>
      </c>
      <c r="P51" s="14"/>
    </row>
    <row r="52" spans="2:16">
      <c r="B52" s="1">
        <f t="shared" si="4"/>
        <v>49</v>
      </c>
      <c r="C52" s="8">
        <v>0.24</v>
      </c>
      <c r="D52" s="8">
        <v>0.24299999999999999</v>
      </c>
      <c r="E52" s="8">
        <v>7.25</v>
      </c>
      <c r="F52" s="9" t="s">
        <v>86</v>
      </c>
      <c r="G52" s="9" t="s">
        <v>87</v>
      </c>
      <c r="H52" s="15" t="str">
        <f t="shared" si="5"/>
        <v>240,13</v>
      </c>
      <c r="I52" s="15" t="str">
        <f t="shared" si="5"/>
        <v>243,19</v>
      </c>
      <c r="J52" s="11">
        <v>240.13</v>
      </c>
      <c r="K52" s="11">
        <v>243.19</v>
      </c>
      <c r="L52" s="12">
        <f t="shared" si="6"/>
        <v>0.24012999999999998</v>
      </c>
      <c r="M52" s="12">
        <f t="shared" si="6"/>
        <v>0.24318999999999999</v>
      </c>
      <c r="N52" s="2">
        <f t="shared" si="2"/>
        <v>1.2999999999999123E-4</v>
      </c>
      <c r="O52" s="13">
        <f t="shared" si="3"/>
        <v>5.4166666666663021E-4</v>
      </c>
      <c r="P52" s="14"/>
    </row>
    <row r="53" spans="2:16">
      <c r="B53" s="1">
        <f t="shared" si="4"/>
        <v>50</v>
      </c>
      <c r="C53" s="8">
        <v>0.22</v>
      </c>
      <c r="D53" s="8">
        <v>0.245</v>
      </c>
      <c r="E53" s="8">
        <v>7.3869999999999996</v>
      </c>
      <c r="F53" s="9" t="s">
        <v>88</v>
      </c>
      <c r="G53" s="9" t="s">
        <v>89</v>
      </c>
      <c r="H53" s="15" t="str">
        <f t="shared" si="5"/>
        <v>219,67</v>
      </c>
      <c r="I53" s="15" t="str">
        <f t="shared" si="5"/>
        <v>245,45</v>
      </c>
      <c r="J53" s="11">
        <v>219.67</v>
      </c>
      <c r="K53" s="11">
        <v>245.45</v>
      </c>
      <c r="L53" s="12">
        <f t="shared" si="6"/>
        <v>0.21966999999999998</v>
      </c>
      <c r="M53" s="12">
        <f t="shared" si="6"/>
        <v>0.24545</v>
      </c>
      <c r="N53" s="2">
        <f t="shared" si="2"/>
        <v>3.3000000000002472E-4</v>
      </c>
      <c r="O53" s="13">
        <f t="shared" si="3"/>
        <v>1.5000000000001124E-3</v>
      </c>
      <c r="P53" s="14"/>
    </row>
    <row r="54" spans="2:16">
      <c r="B54" s="1">
        <f t="shared" si="4"/>
        <v>51</v>
      </c>
      <c r="C54" s="8">
        <v>0.252</v>
      </c>
      <c r="D54" s="8">
        <v>0.23300000000000001</v>
      </c>
      <c r="E54" s="8">
        <v>6.6479999999999997</v>
      </c>
      <c r="F54" s="9" t="s">
        <v>90</v>
      </c>
      <c r="G54" s="9" t="s">
        <v>91</v>
      </c>
      <c r="H54" s="15" t="str">
        <f t="shared" si="5"/>
        <v>251,63</v>
      </c>
      <c r="I54" s="15" t="str">
        <f t="shared" si="5"/>
        <v>232,87</v>
      </c>
      <c r="J54" s="11">
        <v>251.63</v>
      </c>
      <c r="K54" s="11">
        <v>232.87</v>
      </c>
      <c r="L54" s="12">
        <f t="shared" si="6"/>
        <v>0.25163000000000002</v>
      </c>
      <c r="M54" s="12">
        <f t="shared" si="6"/>
        <v>0.23286999999999999</v>
      </c>
      <c r="N54" s="2">
        <f t="shared" si="2"/>
        <v>3.6999999999998145E-4</v>
      </c>
      <c r="O54" s="13">
        <f t="shared" si="3"/>
        <v>1.4682539682538947E-3</v>
      </c>
      <c r="P54" s="14"/>
    </row>
    <row r="55" spans="2:16">
      <c r="B55" s="1">
        <f t="shared" si="4"/>
        <v>52</v>
      </c>
      <c r="C55" s="8">
        <v>0.20599999999999999</v>
      </c>
      <c r="D55" s="8">
        <v>0.26700000000000002</v>
      </c>
      <c r="E55" s="8">
        <v>8.7490000000000006</v>
      </c>
      <c r="F55" s="9" t="s">
        <v>92</v>
      </c>
      <c r="G55" s="9" t="s">
        <v>93</v>
      </c>
      <c r="H55" s="15" t="str">
        <f t="shared" si="5"/>
        <v>206,01</v>
      </c>
      <c r="I55" s="15" t="str">
        <f t="shared" si="5"/>
        <v>267,13</v>
      </c>
      <c r="J55" s="11">
        <v>206.01</v>
      </c>
      <c r="K55" s="11">
        <v>267.13</v>
      </c>
      <c r="L55" s="12">
        <f t="shared" si="6"/>
        <v>0.20601</v>
      </c>
      <c r="M55" s="12">
        <f t="shared" si="6"/>
        <v>0.26712999999999998</v>
      </c>
      <c r="N55" s="2">
        <f t="shared" si="2"/>
        <v>1.0000000000010001E-5</v>
      </c>
      <c r="O55" s="13">
        <f t="shared" si="3"/>
        <v>4.8543689320436898E-5</v>
      </c>
      <c r="P55" s="14"/>
    </row>
    <row r="56" spans="2:16">
      <c r="B56" s="1">
        <f t="shared" si="4"/>
        <v>53</v>
      </c>
      <c r="C56" s="8">
        <v>0.19</v>
      </c>
      <c r="D56" s="8">
        <v>0.26600000000000001</v>
      </c>
      <c r="E56" s="8">
        <v>8.6579999999999995</v>
      </c>
      <c r="F56" s="9" t="s">
        <v>94</v>
      </c>
      <c r="G56" s="9" t="s">
        <v>95</v>
      </c>
      <c r="H56" s="15" t="str">
        <f t="shared" si="5"/>
        <v>190,24</v>
      </c>
      <c r="I56" s="15" t="str">
        <f t="shared" si="5"/>
        <v>265,75</v>
      </c>
      <c r="J56" s="11">
        <v>190.24</v>
      </c>
      <c r="K56" s="11">
        <v>265.75</v>
      </c>
      <c r="L56" s="12">
        <f t="shared" si="6"/>
        <v>0.19024000000000002</v>
      </c>
      <c r="M56" s="12">
        <f t="shared" si="6"/>
        <v>0.26574999999999999</v>
      </c>
      <c r="N56" s="2">
        <f t="shared" si="2"/>
        <v>2.4000000000001798E-4</v>
      </c>
      <c r="O56" s="13">
        <f t="shared" si="3"/>
        <v>1.2631578947369367E-3</v>
      </c>
      <c r="P56" s="14"/>
    </row>
    <row r="57" spans="2:16">
      <c r="B57" s="1">
        <f t="shared" si="4"/>
        <v>54</v>
      </c>
      <c r="C57" s="8">
        <v>0.21</v>
      </c>
      <c r="D57" s="8">
        <v>0.26100000000000001</v>
      </c>
      <c r="E57" s="8">
        <v>8.3529999999999998</v>
      </c>
      <c r="F57" s="9" t="s">
        <v>96</v>
      </c>
      <c r="G57" s="9" t="s">
        <v>97</v>
      </c>
      <c r="H57" s="15" t="str">
        <f t="shared" si="5"/>
        <v>210,27</v>
      </c>
      <c r="I57" s="15" t="str">
        <f t="shared" si="5"/>
        <v>261,06</v>
      </c>
      <c r="J57" s="11">
        <v>210.27</v>
      </c>
      <c r="K57" s="11">
        <v>261.06</v>
      </c>
      <c r="L57" s="12">
        <f t="shared" si="6"/>
        <v>0.21027000000000001</v>
      </c>
      <c r="M57" s="12">
        <f t="shared" si="6"/>
        <v>0.26106000000000001</v>
      </c>
      <c r="N57" s="2">
        <f t="shared" si="2"/>
        <v>2.7000000000002022E-4</v>
      </c>
      <c r="O57" s="13">
        <f t="shared" si="3"/>
        <v>1.2857142857143821E-3</v>
      </c>
      <c r="P57" s="14"/>
    </row>
    <row r="58" spans="2:16">
      <c r="B58" s="1">
        <f t="shared" si="4"/>
        <v>55</v>
      </c>
      <c r="C58" s="8">
        <v>0.19500000000000001</v>
      </c>
      <c r="D58" s="8">
        <v>0.39100000000000001</v>
      </c>
      <c r="E58" s="8">
        <v>18.725000000000001</v>
      </c>
      <c r="F58" s="9" t="s">
        <v>98</v>
      </c>
      <c r="G58" s="9" t="s">
        <v>99</v>
      </c>
      <c r="H58" s="15" t="str">
        <f t="shared" si="5"/>
        <v>194,96</v>
      </c>
      <c r="I58" s="15" t="str">
        <f t="shared" si="5"/>
        <v>390,79</v>
      </c>
      <c r="J58" s="11">
        <v>194.96</v>
      </c>
      <c r="K58" s="11">
        <v>390.79</v>
      </c>
      <c r="L58" s="12">
        <f t="shared" si="6"/>
        <v>0.19495999999999999</v>
      </c>
      <c r="M58" s="12">
        <f t="shared" si="6"/>
        <v>0.39079000000000003</v>
      </c>
      <c r="N58" s="2">
        <f t="shared" si="2"/>
        <v>4.0000000000012248E-5</v>
      </c>
      <c r="O58" s="13">
        <f t="shared" si="3"/>
        <v>2.0512820512826792E-4</v>
      </c>
      <c r="P58" s="14"/>
    </row>
    <row r="59" spans="2:16">
      <c r="B59" s="1">
        <f t="shared" si="4"/>
        <v>56</v>
      </c>
      <c r="C59" s="8">
        <v>0.27400000000000002</v>
      </c>
      <c r="D59" s="8">
        <v>0.54900000000000004</v>
      </c>
      <c r="E59" s="8">
        <v>36.911000000000001</v>
      </c>
      <c r="F59" s="9" t="s">
        <v>100</v>
      </c>
      <c r="G59" s="9" t="s">
        <v>101</v>
      </c>
      <c r="H59" s="15" t="str">
        <f t="shared" si="5"/>
        <v>273,94</v>
      </c>
      <c r="I59" s="15" t="str">
        <f t="shared" si="5"/>
        <v>548,66</v>
      </c>
      <c r="J59" s="11">
        <v>273.94</v>
      </c>
      <c r="K59" s="11">
        <v>548.66</v>
      </c>
      <c r="L59" s="12">
        <f t="shared" si="6"/>
        <v>0.27394000000000002</v>
      </c>
      <c r="M59" s="12">
        <f t="shared" si="6"/>
        <v>0.54865999999999993</v>
      </c>
      <c r="N59" s="2">
        <f t="shared" si="2"/>
        <v>6.0000000000004494E-5</v>
      </c>
      <c r="O59" s="13">
        <f t="shared" si="3"/>
        <v>2.1897810218979741E-4</v>
      </c>
      <c r="P59" s="14"/>
    </row>
    <row r="60" spans="2:16">
      <c r="B60" s="1">
        <f t="shared" si="4"/>
        <v>57</v>
      </c>
      <c r="C60" s="8">
        <v>0.251</v>
      </c>
      <c r="D60" s="8">
        <v>0.61099999999999999</v>
      </c>
      <c r="E60" s="8">
        <v>45.808</v>
      </c>
      <c r="F60" s="9" t="s">
        <v>102</v>
      </c>
      <c r="G60" s="9" t="s">
        <v>103</v>
      </c>
      <c r="H60" s="15" t="str">
        <f t="shared" si="5"/>
        <v>250,93</v>
      </c>
      <c r="I60" s="15" t="str">
        <f t="shared" si="5"/>
        <v>611,24</v>
      </c>
      <c r="J60" s="11">
        <v>250.93</v>
      </c>
      <c r="K60" s="11">
        <v>611.24</v>
      </c>
      <c r="L60" s="12">
        <f t="shared" si="6"/>
        <v>0.25092999999999999</v>
      </c>
      <c r="M60" s="12">
        <f t="shared" si="6"/>
        <v>0.61124000000000001</v>
      </c>
      <c r="N60" s="2">
        <f t="shared" si="2"/>
        <v>7.0000000000014495E-5</v>
      </c>
      <c r="O60" s="13">
        <f t="shared" si="3"/>
        <v>2.7888446215145217E-4</v>
      </c>
      <c r="P60" s="14"/>
    </row>
    <row r="61" spans="2:16">
      <c r="B61" s="1">
        <f t="shared" si="4"/>
        <v>58</v>
      </c>
      <c r="C61" s="8">
        <v>0.19700000000000001</v>
      </c>
      <c r="D61" s="8">
        <v>8.5999999999999993E-2</v>
      </c>
      <c r="E61" s="8">
        <v>0.91700000000000004</v>
      </c>
      <c r="F61" s="9" t="s">
        <v>104</v>
      </c>
      <c r="G61" s="9" t="s">
        <v>105</v>
      </c>
      <c r="H61" s="15" t="str">
        <f t="shared" si="5"/>
        <v>196,91</v>
      </c>
      <c r="I61" s="15" t="str">
        <f t="shared" si="5"/>
        <v>86,49</v>
      </c>
      <c r="J61" s="11">
        <v>196.91</v>
      </c>
      <c r="K61" s="11">
        <v>86.49</v>
      </c>
      <c r="L61" s="12">
        <f t="shared" si="6"/>
        <v>0.19691</v>
      </c>
      <c r="M61" s="12">
        <f t="shared" si="6"/>
        <v>8.6489999999999997E-2</v>
      </c>
      <c r="N61" s="2">
        <f t="shared" si="2"/>
        <v>9.0000000000006741E-5</v>
      </c>
      <c r="O61" s="13">
        <f t="shared" si="3"/>
        <v>4.5685279187820677E-4</v>
      </c>
      <c r="P61" s="14"/>
    </row>
    <row r="62" spans="2:16">
      <c r="B62" s="1">
        <f t="shared" si="4"/>
        <v>59</v>
      </c>
      <c r="C62" s="8">
        <v>0.87</v>
      </c>
      <c r="D62" s="8">
        <v>0.36099999999999999</v>
      </c>
      <c r="E62" s="8">
        <v>15.943</v>
      </c>
      <c r="F62" s="9" t="s">
        <v>106</v>
      </c>
      <c r="G62" s="9" t="s">
        <v>107</v>
      </c>
      <c r="H62" s="15" t="str">
        <f t="shared" si="5"/>
        <v>870,43</v>
      </c>
      <c r="I62" s="15" t="str">
        <f t="shared" si="5"/>
        <v>360,64</v>
      </c>
      <c r="J62" s="11">
        <v>870.43</v>
      </c>
      <c r="K62" s="11">
        <v>360.64</v>
      </c>
      <c r="L62" s="12">
        <f t="shared" si="6"/>
        <v>0.87042999999999993</v>
      </c>
      <c r="M62" s="12">
        <f t="shared" si="6"/>
        <v>0.36063999999999996</v>
      </c>
      <c r="N62" s="2">
        <f t="shared" si="2"/>
        <v>4.2999999999993044E-4</v>
      </c>
      <c r="O62" s="13">
        <f t="shared" si="3"/>
        <v>4.9425287356313842E-4</v>
      </c>
      <c r="P62" s="14"/>
    </row>
    <row r="63" spans="2:16">
      <c r="B63" s="1">
        <f t="shared" si="4"/>
        <v>60</v>
      </c>
      <c r="C63" s="8">
        <v>0.38100000000000001</v>
      </c>
      <c r="D63" s="8">
        <v>0.128</v>
      </c>
      <c r="E63" s="8">
        <v>2.0110000000000001</v>
      </c>
      <c r="F63" s="9" t="s">
        <v>108</v>
      </c>
      <c r="G63" s="9" t="s">
        <v>109</v>
      </c>
      <c r="H63" s="15" t="str">
        <f t="shared" si="5"/>
        <v>380,69</v>
      </c>
      <c r="I63" s="15" t="str">
        <f t="shared" si="5"/>
        <v>128,07</v>
      </c>
      <c r="J63" s="11">
        <v>380.69</v>
      </c>
      <c r="K63" s="11">
        <v>128.07</v>
      </c>
      <c r="L63" s="12">
        <f t="shared" si="6"/>
        <v>0.38068999999999997</v>
      </c>
      <c r="M63" s="12">
        <f t="shared" si="6"/>
        <v>0.12806999999999999</v>
      </c>
      <c r="N63" s="2">
        <f t="shared" si="2"/>
        <v>3.1000000000003247E-4</v>
      </c>
      <c r="O63" s="13">
        <f t="shared" si="3"/>
        <v>8.1364829396333982E-4</v>
      </c>
      <c r="P63" s="14"/>
    </row>
    <row r="64" spans="2:16">
      <c r="B64" s="1">
        <f t="shared" si="4"/>
        <v>61</v>
      </c>
      <c r="C64" s="8">
        <v>0.28100000000000003</v>
      </c>
      <c r="D64" s="8">
        <v>0.17599999999999999</v>
      </c>
      <c r="E64" s="8">
        <v>3.786</v>
      </c>
      <c r="F64" s="9" t="s">
        <v>110</v>
      </c>
      <c r="G64" s="9" t="s">
        <v>111</v>
      </c>
      <c r="H64" s="15" t="str">
        <f t="shared" si="5"/>
        <v>281,31</v>
      </c>
      <c r="I64" s="15" t="str">
        <f t="shared" si="5"/>
        <v>175,75</v>
      </c>
      <c r="J64" s="11">
        <v>281.31</v>
      </c>
      <c r="K64" s="11">
        <v>175.75</v>
      </c>
      <c r="L64" s="12">
        <f t="shared" si="6"/>
        <v>0.28131</v>
      </c>
      <c r="M64" s="12">
        <f t="shared" si="6"/>
        <v>0.17574999999999999</v>
      </c>
      <c r="N64" s="2">
        <f t="shared" si="2"/>
        <v>3.0999999999997696E-4</v>
      </c>
      <c r="O64" s="13">
        <f t="shared" si="3"/>
        <v>1.1032028469750068E-3</v>
      </c>
      <c r="P64" s="14"/>
    </row>
    <row r="65" spans="2:16">
      <c r="B65" s="1">
        <f t="shared" si="4"/>
        <v>62</v>
      </c>
      <c r="C65" s="8">
        <v>0.223</v>
      </c>
      <c r="D65" s="8">
        <v>0.39600000000000002</v>
      </c>
      <c r="E65" s="8">
        <v>19.2</v>
      </c>
      <c r="F65" s="9" t="s">
        <v>112</v>
      </c>
      <c r="G65" s="9" t="s">
        <v>113</v>
      </c>
      <c r="H65" s="15" t="str">
        <f t="shared" si="5"/>
        <v>222,50</v>
      </c>
      <c r="I65" s="15" t="str">
        <f t="shared" si="5"/>
        <v>395,75</v>
      </c>
      <c r="J65" s="11">
        <v>222.5</v>
      </c>
      <c r="K65" s="11">
        <v>395.75</v>
      </c>
      <c r="L65" s="12">
        <f t="shared" si="6"/>
        <v>0.2225</v>
      </c>
      <c r="M65" s="12">
        <f t="shared" si="6"/>
        <v>0.39574999999999999</v>
      </c>
      <c r="N65" s="2">
        <f t="shared" si="2"/>
        <v>5.0000000000000044E-4</v>
      </c>
      <c r="O65" s="13">
        <f t="shared" si="3"/>
        <v>2.2421524663677151E-3</v>
      </c>
      <c r="P65" s="14"/>
    </row>
    <row r="66" spans="2:16">
      <c r="B66" s="1">
        <f t="shared" si="4"/>
        <v>63</v>
      </c>
      <c r="C66" s="8">
        <v>0.224</v>
      </c>
      <c r="D66" s="8">
        <v>0.27300000000000002</v>
      </c>
      <c r="E66" s="8">
        <v>9.1660000000000004</v>
      </c>
      <c r="F66" s="9" t="s">
        <v>114</v>
      </c>
      <c r="G66" s="9" t="s">
        <v>115</v>
      </c>
      <c r="H66" s="15" t="str">
        <f t="shared" si="5"/>
        <v>223,86</v>
      </c>
      <c r="I66" s="15" t="str">
        <f t="shared" si="5"/>
        <v>276,15</v>
      </c>
      <c r="J66" s="11">
        <v>223.86</v>
      </c>
      <c r="K66" s="11">
        <v>276.14999999999998</v>
      </c>
      <c r="L66" s="12">
        <f t="shared" si="6"/>
        <v>0.22386</v>
      </c>
      <c r="M66" s="12">
        <f t="shared" si="6"/>
        <v>0.27614999999999995</v>
      </c>
      <c r="N66" s="2">
        <f t="shared" si="2"/>
        <v>1.4000000000000123E-4</v>
      </c>
      <c r="O66" s="13">
        <f t="shared" si="3"/>
        <v>6.2500000000000554E-4</v>
      </c>
      <c r="P66" s="14"/>
    </row>
    <row r="67" spans="2:16">
      <c r="B67" s="1">
        <f t="shared" si="4"/>
        <v>64</v>
      </c>
      <c r="C67" s="8">
        <v>0.23499999999999999</v>
      </c>
      <c r="D67" s="8">
        <v>0.218</v>
      </c>
      <c r="E67" s="8">
        <v>5.8310000000000004</v>
      </c>
      <c r="F67" s="9" t="s">
        <v>116</v>
      </c>
      <c r="G67" s="9" t="s">
        <v>117</v>
      </c>
      <c r="H67" s="15" t="str">
        <f t="shared" si="5"/>
        <v>231,98</v>
      </c>
      <c r="I67" s="15" t="str">
        <f t="shared" si="5"/>
        <v>218,08</v>
      </c>
      <c r="J67" s="11">
        <v>231.98</v>
      </c>
      <c r="K67" s="11">
        <v>218.08</v>
      </c>
      <c r="L67" s="12">
        <f t="shared" si="6"/>
        <v>0.23197999999999999</v>
      </c>
      <c r="M67" s="12">
        <f t="shared" si="6"/>
        <v>0.21808000000000002</v>
      </c>
      <c r="N67" s="2">
        <f t="shared" si="2"/>
        <v>3.0199999999999949E-3</v>
      </c>
      <c r="O67" s="13">
        <f t="shared" si="3"/>
        <v>1.2851063829787212E-2</v>
      </c>
      <c r="P67" s="14"/>
    </row>
    <row r="68" spans="2:16">
      <c r="B68" s="1">
        <f t="shared" si="4"/>
        <v>65</v>
      </c>
      <c r="C68" s="8">
        <v>0.22</v>
      </c>
      <c r="D68" s="8">
        <v>0.23699999999999999</v>
      </c>
      <c r="E68" s="8">
        <v>6.88</v>
      </c>
      <c r="F68" s="9" t="s">
        <v>118</v>
      </c>
      <c r="G68" s="9" t="s">
        <v>119</v>
      </c>
      <c r="H68" s="15" t="str">
        <f t="shared" ref="H68:I99" si="7">SUBSTITUTE(F68,".",",")</f>
        <v>220,35</v>
      </c>
      <c r="I68" s="15" t="str">
        <f t="shared" si="7"/>
        <v>236,91</v>
      </c>
      <c r="J68" s="11">
        <v>220.35</v>
      </c>
      <c r="K68" s="11">
        <v>236.91</v>
      </c>
      <c r="L68" s="12">
        <f t="shared" ref="L68:M98" si="8">J68/1000</f>
        <v>0.22034999999999999</v>
      </c>
      <c r="M68" s="12">
        <f t="shared" si="8"/>
        <v>0.23691000000000001</v>
      </c>
      <c r="N68" s="2">
        <f t="shared" ref="N68:N116" si="9">ABS(L68-C68)</f>
        <v>3.4999999999998921E-4</v>
      </c>
      <c r="O68" s="13">
        <f t="shared" ref="O68:O116" si="10">N68/C68</f>
        <v>1.590909090909042E-3</v>
      </c>
      <c r="P68" s="14"/>
    </row>
    <row r="69" spans="2:16">
      <c r="B69" s="1">
        <f t="shared" ref="B69:B117" si="11">B68+1</f>
        <v>66</v>
      </c>
      <c r="C69" s="8">
        <v>0.19700000000000001</v>
      </c>
      <c r="D69" s="8">
        <v>0.33</v>
      </c>
      <c r="E69" s="8">
        <v>13.372</v>
      </c>
      <c r="F69" s="9" t="s">
        <v>120</v>
      </c>
      <c r="G69" s="9" t="s">
        <v>121</v>
      </c>
      <c r="H69" s="15" t="str">
        <f t="shared" si="7"/>
        <v>197,09</v>
      </c>
      <c r="I69" s="15" t="str">
        <f t="shared" si="7"/>
        <v>330,86</v>
      </c>
      <c r="J69" s="11">
        <v>197.09</v>
      </c>
      <c r="K69" s="11">
        <v>330.86</v>
      </c>
      <c r="L69" s="12">
        <f t="shared" si="8"/>
        <v>0.19709000000000002</v>
      </c>
      <c r="M69" s="12">
        <f t="shared" si="8"/>
        <v>0.33085999999999999</v>
      </c>
      <c r="N69" s="2">
        <f t="shared" si="9"/>
        <v>9.0000000000006741E-5</v>
      </c>
      <c r="O69" s="13">
        <f t="shared" si="10"/>
        <v>4.5685279187820677E-4</v>
      </c>
      <c r="P69" s="14"/>
    </row>
    <row r="70" spans="2:16">
      <c r="B70" s="1">
        <f t="shared" si="11"/>
        <v>67</v>
      </c>
      <c r="C70" s="8">
        <v>0.26200000000000001</v>
      </c>
      <c r="D70" s="8">
        <v>0.15</v>
      </c>
      <c r="E70" s="8">
        <v>2.7530000000000001</v>
      </c>
      <c r="F70" s="9" t="s">
        <v>122</v>
      </c>
      <c r="G70" s="9" t="s">
        <v>123</v>
      </c>
      <c r="H70" s="15" t="str">
        <f t="shared" si="7"/>
        <v>261,16</v>
      </c>
      <c r="I70" s="15" t="str">
        <f t="shared" si="7"/>
        <v>149,88</v>
      </c>
      <c r="J70" s="11">
        <v>261.16000000000003</v>
      </c>
      <c r="K70" s="11">
        <v>149.88</v>
      </c>
      <c r="L70" s="12">
        <f t="shared" si="8"/>
        <v>0.26116</v>
      </c>
      <c r="M70" s="12">
        <f t="shared" si="8"/>
        <v>0.14987999999999999</v>
      </c>
      <c r="N70" s="2">
        <f t="shared" si="9"/>
        <v>8.4000000000000741E-4</v>
      </c>
      <c r="O70" s="13">
        <f t="shared" si="10"/>
        <v>3.2061068702290358E-3</v>
      </c>
      <c r="P70" s="14"/>
    </row>
    <row r="71" spans="2:16">
      <c r="B71" s="1">
        <f t="shared" si="11"/>
        <v>68</v>
      </c>
      <c r="C71" s="8">
        <v>0.29399999999999998</v>
      </c>
      <c r="D71" s="8">
        <v>0.09</v>
      </c>
      <c r="E71" s="8">
        <v>0.98699999999999999</v>
      </c>
      <c r="F71" s="9" t="s">
        <v>124</v>
      </c>
      <c r="G71" s="9" t="s">
        <v>125</v>
      </c>
      <c r="H71" s="15" t="str">
        <f t="shared" si="7"/>
        <v>293,97</v>
      </c>
      <c r="I71" s="15" t="str">
        <f t="shared" si="7"/>
        <v>89,76</v>
      </c>
      <c r="J71" s="11">
        <v>293.97000000000003</v>
      </c>
      <c r="K71" s="11">
        <v>89.76</v>
      </c>
      <c r="L71" s="12">
        <f t="shared" si="8"/>
        <v>0.29397000000000001</v>
      </c>
      <c r="M71" s="12">
        <f t="shared" si="8"/>
        <v>8.9760000000000006E-2</v>
      </c>
      <c r="N71" s="2">
        <f t="shared" si="9"/>
        <v>2.9999999999974492E-5</v>
      </c>
      <c r="O71" s="13">
        <f t="shared" si="10"/>
        <v>1.0204081632644385E-4</v>
      </c>
      <c r="P71" s="14"/>
    </row>
    <row r="72" spans="2:16">
      <c r="B72" s="1">
        <f t="shared" si="11"/>
        <v>69</v>
      </c>
      <c r="C72" s="8">
        <v>0.17299999999999999</v>
      </c>
      <c r="D72" s="8">
        <v>8.5000000000000006E-2</v>
      </c>
      <c r="E72" s="8">
        <v>0.878</v>
      </c>
      <c r="F72" s="9" t="s">
        <v>126</v>
      </c>
      <c r="G72" s="9" t="s">
        <v>127</v>
      </c>
      <c r="H72" s="15" t="str">
        <f t="shared" si="7"/>
        <v>172,91</v>
      </c>
      <c r="I72" s="15" t="str">
        <f t="shared" si="7"/>
        <v>84,63</v>
      </c>
      <c r="J72" s="11">
        <v>172.91</v>
      </c>
      <c r="K72" s="11">
        <v>84.63</v>
      </c>
      <c r="L72" s="12">
        <f t="shared" si="8"/>
        <v>0.17291000000000001</v>
      </c>
      <c r="M72" s="12">
        <f t="shared" si="8"/>
        <v>8.4629999999999997E-2</v>
      </c>
      <c r="N72" s="2">
        <f t="shared" si="9"/>
        <v>8.9999999999978986E-5</v>
      </c>
      <c r="O72" s="13">
        <f t="shared" si="10"/>
        <v>5.202312138727109E-4</v>
      </c>
      <c r="P72" s="14"/>
    </row>
    <row r="73" spans="2:16">
      <c r="B73" s="1">
        <f t="shared" si="11"/>
        <v>70</v>
      </c>
      <c r="C73" s="8">
        <v>0.20899999999999999</v>
      </c>
      <c r="D73" s="8">
        <v>0.14099999999999999</v>
      </c>
      <c r="E73" s="8">
        <v>2.4489999999999998</v>
      </c>
      <c r="F73" s="9" t="s">
        <v>128</v>
      </c>
      <c r="G73" s="9" t="s">
        <v>129</v>
      </c>
      <c r="H73" s="15" t="str">
        <f t="shared" si="7"/>
        <v>209,40</v>
      </c>
      <c r="I73" s="15" t="str">
        <f t="shared" si="7"/>
        <v>141,35</v>
      </c>
      <c r="J73" s="11">
        <v>209.4</v>
      </c>
      <c r="K73" s="11">
        <v>141.35</v>
      </c>
      <c r="L73" s="12">
        <f t="shared" si="8"/>
        <v>0.2094</v>
      </c>
      <c r="M73" s="12">
        <f t="shared" si="8"/>
        <v>0.14135</v>
      </c>
      <c r="N73" s="2">
        <f t="shared" si="9"/>
        <v>4.0000000000001146E-4</v>
      </c>
      <c r="O73" s="13">
        <f t="shared" si="10"/>
        <v>1.9138755980861793E-3</v>
      </c>
      <c r="P73" s="14"/>
    </row>
    <row r="74" spans="2:16">
      <c r="B74" s="1">
        <f t="shared" si="11"/>
        <v>71</v>
      </c>
      <c r="C74" s="8">
        <v>0.19600000000000001</v>
      </c>
      <c r="D74" s="8">
        <v>0.23300000000000001</v>
      </c>
      <c r="E74" s="8">
        <v>6.6539999999999999</v>
      </c>
      <c r="F74" s="9" t="s">
        <v>130</v>
      </c>
      <c r="G74" s="9" t="s">
        <v>131</v>
      </c>
      <c r="H74" s="15" t="str">
        <f t="shared" si="7"/>
        <v>195,90</v>
      </c>
      <c r="I74" s="15" t="str">
        <f t="shared" si="7"/>
        <v>233,00</v>
      </c>
      <c r="J74" s="11">
        <v>195.9</v>
      </c>
      <c r="K74" s="11">
        <v>233</v>
      </c>
      <c r="L74" s="12">
        <f t="shared" si="8"/>
        <v>0.19590000000000002</v>
      </c>
      <c r="M74" s="12">
        <f t="shared" si="8"/>
        <v>0.23300000000000001</v>
      </c>
      <c r="N74" s="2">
        <f t="shared" si="9"/>
        <v>9.9999999999988987E-5</v>
      </c>
      <c r="O74" s="13">
        <f t="shared" si="10"/>
        <v>5.1020408163259684E-4</v>
      </c>
      <c r="P74" s="14"/>
    </row>
    <row r="75" spans="2:16">
      <c r="B75" s="1">
        <f t="shared" si="11"/>
        <v>72</v>
      </c>
      <c r="C75" s="8">
        <v>0.19900000000000001</v>
      </c>
      <c r="D75" s="8">
        <v>0.36899999999999999</v>
      </c>
      <c r="E75" s="8">
        <v>16.663</v>
      </c>
      <c r="F75" s="9" t="s">
        <v>132</v>
      </c>
      <c r="G75" s="9" t="s">
        <v>133</v>
      </c>
      <c r="H75" s="15" t="str">
        <f t="shared" si="7"/>
        <v>198,59</v>
      </c>
      <c r="I75" s="15" t="str">
        <f t="shared" si="7"/>
        <v>368,66</v>
      </c>
      <c r="J75" s="11">
        <v>198.59</v>
      </c>
      <c r="K75" s="11">
        <v>368.66</v>
      </c>
      <c r="L75" s="12">
        <f t="shared" si="8"/>
        <v>0.19859000000000002</v>
      </c>
      <c r="M75" s="12">
        <f t="shared" si="8"/>
        <v>0.36866000000000004</v>
      </c>
      <c r="N75" s="2">
        <f t="shared" si="9"/>
        <v>4.099999999999937E-4</v>
      </c>
      <c r="O75" s="13">
        <f t="shared" si="10"/>
        <v>2.0603015075376565E-3</v>
      </c>
      <c r="P75" s="14"/>
    </row>
    <row r="76" spans="2:16">
      <c r="B76" s="1">
        <f t="shared" si="11"/>
        <v>73</v>
      </c>
      <c r="C76" s="8">
        <v>0.217</v>
      </c>
      <c r="D76" s="8">
        <v>0.22900000000000001</v>
      </c>
      <c r="E76" s="8">
        <v>6.4180000000000001</v>
      </c>
      <c r="F76" s="9" t="s">
        <v>134</v>
      </c>
      <c r="G76" s="9" t="s">
        <v>135</v>
      </c>
      <c r="H76" s="15" t="str">
        <f t="shared" si="7"/>
        <v>217,00</v>
      </c>
      <c r="I76" s="15" t="str">
        <f t="shared" si="7"/>
        <v>228,82</v>
      </c>
      <c r="J76" s="11">
        <v>217</v>
      </c>
      <c r="K76" s="11">
        <v>228.82</v>
      </c>
      <c r="L76" s="12">
        <f t="shared" si="8"/>
        <v>0.217</v>
      </c>
      <c r="M76" s="12">
        <f t="shared" si="8"/>
        <v>0.22882</v>
      </c>
      <c r="N76" s="2">
        <f t="shared" si="9"/>
        <v>0</v>
      </c>
      <c r="O76" s="13">
        <f t="shared" si="10"/>
        <v>0</v>
      </c>
      <c r="P76" s="14"/>
    </row>
    <row r="77" spans="2:16">
      <c r="B77" s="1">
        <f t="shared" si="11"/>
        <v>74</v>
      </c>
      <c r="C77" s="8">
        <v>0.218</v>
      </c>
      <c r="D77" s="8">
        <v>0.24099999999999999</v>
      </c>
      <c r="E77" s="8">
        <v>7.1260000000000003</v>
      </c>
      <c r="F77" s="9" t="s">
        <v>136</v>
      </c>
      <c r="G77" s="9" t="s">
        <v>137</v>
      </c>
      <c r="H77" s="15" t="str">
        <f t="shared" si="7"/>
        <v>217,70</v>
      </c>
      <c r="I77" s="15" t="str">
        <f t="shared" si="7"/>
        <v>241,53</v>
      </c>
      <c r="J77" s="11">
        <v>217.7</v>
      </c>
      <c r="K77" s="11">
        <v>241.53</v>
      </c>
      <c r="L77" s="12">
        <f t="shared" si="8"/>
        <v>0.21769999999999998</v>
      </c>
      <c r="M77" s="12">
        <f t="shared" si="8"/>
        <v>0.24152999999999999</v>
      </c>
      <c r="N77" s="2">
        <f t="shared" si="9"/>
        <v>3.0000000000002247E-4</v>
      </c>
      <c r="O77" s="13">
        <f t="shared" si="10"/>
        <v>1.3761467889909288E-3</v>
      </c>
      <c r="P77" s="14"/>
    </row>
    <row r="78" spans="2:16">
      <c r="B78" s="1">
        <f t="shared" si="11"/>
        <v>75</v>
      </c>
      <c r="C78" s="8">
        <v>0.251</v>
      </c>
      <c r="D78" s="8">
        <v>0.189</v>
      </c>
      <c r="E78" s="8">
        <v>4.3869999999999996</v>
      </c>
      <c r="F78" s="9" t="s">
        <v>138</v>
      </c>
      <c r="G78" s="9" t="s">
        <v>139</v>
      </c>
      <c r="H78" s="15" t="str">
        <f t="shared" si="7"/>
        <v>250,65</v>
      </c>
      <c r="I78" s="15" t="str">
        <f t="shared" si="7"/>
        <v>189,17</v>
      </c>
      <c r="J78" s="11">
        <v>250.65</v>
      </c>
      <c r="K78" s="11">
        <v>189.17</v>
      </c>
      <c r="L78" s="12">
        <f t="shared" si="8"/>
        <v>0.25064999999999998</v>
      </c>
      <c r="M78" s="12">
        <f t="shared" si="8"/>
        <v>0.18916999999999998</v>
      </c>
      <c r="N78" s="2">
        <f t="shared" si="9"/>
        <v>3.5000000000001696E-4</v>
      </c>
      <c r="O78" s="13">
        <f t="shared" si="10"/>
        <v>1.3944223107570397E-3</v>
      </c>
      <c r="P78" s="14"/>
    </row>
    <row r="79" spans="2:16">
      <c r="B79" s="1">
        <f t="shared" si="11"/>
        <v>76</v>
      </c>
      <c r="C79" s="8">
        <v>0.215</v>
      </c>
      <c r="D79" s="8">
        <v>0.25</v>
      </c>
      <c r="E79" s="8">
        <v>7.6779999999999999</v>
      </c>
      <c r="F79" s="9" t="s">
        <v>140</v>
      </c>
      <c r="G79" s="9" t="s">
        <v>141</v>
      </c>
      <c r="H79" s="15" t="str">
        <f t="shared" si="7"/>
        <v>217,09</v>
      </c>
      <c r="I79" s="15" t="str">
        <f t="shared" si="7"/>
        <v>250,24</v>
      </c>
      <c r="J79" s="11">
        <v>217.09</v>
      </c>
      <c r="K79" s="11">
        <v>250.24</v>
      </c>
      <c r="L79" s="12">
        <f t="shared" si="8"/>
        <v>0.21709000000000001</v>
      </c>
      <c r="M79" s="12">
        <f t="shared" si="8"/>
        <v>0.25024000000000002</v>
      </c>
      <c r="N79" s="2">
        <f t="shared" si="9"/>
        <v>2.0900000000000085E-3</v>
      </c>
      <c r="O79" s="13">
        <f t="shared" si="10"/>
        <v>9.7209302325581785E-3</v>
      </c>
      <c r="P79" s="14"/>
    </row>
    <row r="80" spans="2:16">
      <c r="B80" s="1">
        <f t="shared" si="11"/>
        <v>77</v>
      </c>
      <c r="C80" s="8">
        <v>0.22500000000000001</v>
      </c>
      <c r="D80" s="8">
        <v>0.30299999999999999</v>
      </c>
      <c r="E80" s="8">
        <v>11.273999999999999</v>
      </c>
      <c r="F80" s="9" t="s">
        <v>142</v>
      </c>
      <c r="G80" s="9" t="s">
        <v>143</v>
      </c>
      <c r="H80" s="15" t="str">
        <f t="shared" si="7"/>
        <v>225,28</v>
      </c>
      <c r="I80" s="15" t="str">
        <f t="shared" si="7"/>
        <v>303,23</v>
      </c>
      <c r="J80" s="11">
        <v>225.28</v>
      </c>
      <c r="K80" s="11">
        <v>303.23</v>
      </c>
      <c r="L80" s="12">
        <f t="shared" si="8"/>
        <v>0.22528000000000001</v>
      </c>
      <c r="M80" s="12">
        <f t="shared" si="8"/>
        <v>0.30323</v>
      </c>
      <c r="N80" s="2">
        <f t="shared" si="9"/>
        <v>2.8000000000000247E-4</v>
      </c>
      <c r="O80" s="13">
        <f t="shared" si="10"/>
        <v>1.2444444444444553E-3</v>
      </c>
      <c r="P80" s="14"/>
    </row>
    <row r="81" spans="2:16">
      <c r="B81" s="1">
        <f t="shared" si="11"/>
        <v>78</v>
      </c>
      <c r="C81" s="8">
        <v>0.23599999999999999</v>
      </c>
      <c r="D81" s="8">
        <v>0.189</v>
      </c>
      <c r="E81" s="8">
        <v>4.3860000000000001</v>
      </c>
      <c r="F81" s="9" t="s">
        <v>144</v>
      </c>
      <c r="G81" s="9" t="s">
        <v>145</v>
      </c>
      <c r="H81" s="15" t="str">
        <f t="shared" si="7"/>
        <v>236,37</v>
      </c>
      <c r="I81" s="15" t="str">
        <f t="shared" si="7"/>
        <v>189,15</v>
      </c>
      <c r="J81" s="11">
        <v>236.37</v>
      </c>
      <c r="K81" s="11">
        <v>189.15</v>
      </c>
      <c r="L81" s="12">
        <f t="shared" si="8"/>
        <v>0.23637</v>
      </c>
      <c r="M81" s="12">
        <f t="shared" si="8"/>
        <v>0.18915000000000001</v>
      </c>
      <c r="N81" s="2">
        <f t="shared" si="9"/>
        <v>3.7000000000000921E-4</v>
      </c>
      <c r="O81" s="13">
        <f t="shared" si="10"/>
        <v>1.5677966101695306E-3</v>
      </c>
      <c r="P81" s="14"/>
    </row>
    <row r="82" spans="2:16">
      <c r="B82" s="1">
        <f t="shared" si="11"/>
        <v>79</v>
      </c>
      <c r="C82" s="8">
        <v>0.17399999999999999</v>
      </c>
      <c r="D82" s="8">
        <v>0.18</v>
      </c>
      <c r="E82" s="8">
        <v>3.9580000000000002</v>
      </c>
      <c r="F82" s="9" t="s">
        <v>146</v>
      </c>
      <c r="G82" s="9" t="s">
        <v>147</v>
      </c>
      <c r="H82" s="15" t="str">
        <f t="shared" si="7"/>
        <v>173,94</v>
      </c>
      <c r="I82" s="15" t="str">
        <f t="shared" si="7"/>
        <v>179,74</v>
      </c>
      <c r="J82" s="11">
        <v>173.94</v>
      </c>
      <c r="K82" s="11">
        <v>179.74</v>
      </c>
      <c r="L82" s="12">
        <f t="shared" si="8"/>
        <v>0.17394000000000001</v>
      </c>
      <c r="M82" s="12">
        <f t="shared" si="8"/>
        <v>0.17974000000000001</v>
      </c>
      <c r="N82" s="2">
        <f t="shared" si="9"/>
        <v>5.9999999999976739E-5</v>
      </c>
      <c r="O82" s="13">
        <f t="shared" si="10"/>
        <v>3.448275862067629E-4</v>
      </c>
      <c r="P82" s="14"/>
    </row>
    <row r="83" spans="2:16">
      <c r="B83" s="1">
        <f t="shared" si="11"/>
        <v>80</v>
      </c>
      <c r="C83" s="8">
        <v>0.20499999999999999</v>
      </c>
      <c r="D83" s="8">
        <v>0.22900000000000001</v>
      </c>
      <c r="E83" s="8">
        <v>6.4539999999999997</v>
      </c>
      <c r="F83" s="9" t="s">
        <v>148</v>
      </c>
      <c r="G83" s="9" t="s">
        <v>149</v>
      </c>
      <c r="H83" s="15" t="str">
        <f t="shared" si="7"/>
        <v>204,65</v>
      </c>
      <c r="I83" s="15" t="str">
        <f t="shared" si="7"/>
        <v>229,45</v>
      </c>
      <c r="J83" s="11">
        <v>204.65</v>
      </c>
      <c r="K83" s="11">
        <v>229.45</v>
      </c>
      <c r="L83" s="12">
        <f t="shared" si="8"/>
        <v>0.20465</v>
      </c>
      <c r="M83" s="12">
        <f t="shared" si="8"/>
        <v>0.22944999999999999</v>
      </c>
      <c r="N83" s="2">
        <f t="shared" si="9"/>
        <v>3.4999999999998921E-4</v>
      </c>
      <c r="O83" s="13">
        <f t="shared" si="10"/>
        <v>1.7073170731706792E-3</v>
      </c>
      <c r="P83" s="14"/>
    </row>
    <row r="84" spans="2:16">
      <c r="B84" s="1">
        <f t="shared" si="11"/>
        <v>81</v>
      </c>
      <c r="C84" s="8">
        <v>0.21199999999999999</v>
      </c>
      <c r="D84" s="8">
        <v>0.36699999999999999</v>
      </c>
      <c r="E84" s="8">
        <v>16.527999999999999</v>
      </c>
      <c r="F84" s="9" t="s">
        <v>150</v>
      </c>
      <c r="G84" s="9" t="s">
        <v>151</v>
      </c>
      <c r="H84" s="15" t="str">
        <f t="shared" si="7"/>
        <v>211,58</v>
      </c>
      <c r="I84" s="15" t="str">
        <f t="shared" si="7"/>
        <v>367,15</v>
      </c>
      <c r="J84" s="11">
        <v>211.58</v>
      </c>
      <c r="K84" s="11">
        <v>367.15</v>
      </c>
      <c r="L84" s="12">
        <f t="shared" si="8"/>
        <v>0.21158000000000002</v>
      </c>
      <c r="M84" s="12">
        <f t="shared" si="8"/>
        <v>0.36714999999999998</v>
      </c>
      <c r="N84" s="2">
        <f t="shared" si="9"/>
        <v>4.1999999999997595E-4</v>
      </c>
      <c r="O84" s="13">
        <f t="shared" si="10"/>
        <v>1.9811320754715847E-3</v>
      </c>
      <c r="P84" s="14"/>
    </row>
    <row r="85" spans="2:16">
      <c r="B85" s="1">
        <f t="shared" si="11"/>
        <v>82</v>
      </c>
      <c r="C85" s="8">
        <v>0.24099999999999999</v>
      </c>
      <c r="D85" s="8">
        <v>0.30199999999999999</v>
      </c>
      <c r="E85" s="8">
        <v>11.170999999999999</v>
      </c>
      <c r="F85" s="9" t="s">
        <v>152</v>
      </c>
      <c r="G85" s="9" t="s">
        <v>153</v>
      </c>
      <c r="H85" s="15" t="str">
        <f t="shared" si="7"/>
        <v>240,71</v>
      </c>
      <c r="I85" s="15" t="str">
        <f t="shared" si="7"/>
        <v>301,88</v>
      </c>
      <c r="J85" s="11">
        <v>240.71</v>
      </c>
      <c r="K85" s="11">
        <v>301.88</v>
      </c>
      <c r="L85" s="12">
        <f t="shared" si="8"/>
        <v>0.24071000000000001</v>
      </c>
      <c r="M85" s="12">
        <f t="shared" si="8"/>
        <v>0.30187999999999998</v>
      </c>
      <c r="N85" s="2">
        <f t="shared" si="9"/>
        <v>2.8999999999998471E-4</v>
      </c>
      <c r="O85" s="13">
        <f t="shared" si="10"/>
        <v>1.2033195020746254E-3</v>
      </c>
      <c r="P85" s="14"/>
    </row>
    <row r="86" spans="2:16">
      <c r="B86" s="1">
        <f t="shared" si="11"/>
        <v>83</v>
      </c>
      <c r="C86" s="8">
        <v>0.216</v>
      </c>
      <c r="D86" s="8">
        <v>0.28199999999999997</v>
      </c>
      <c r="E86" s="8">
        <v>9.7230000000000008</v>
      </c>
      <c r="F86" s="9" t="s">
        <v>154</v>
      </c>
      <c r="G86" s="9" t="s">
        <v>155</v>
      </c>
      <c r="H86" s="15" t="str">
        <f t="shared" si="7"/>
        <v>215,94</v>
      </c>
      <c r="I86" s="15" t="str">
        <f t="shared" si="7"/>
        <v>281,63</v>
      </c>
      <c r="J86" s="11">
        <v>215.94</v>
      </c>
      <c r="K86" s="11">
        <v>281.63</v>
      </c>
      <c r="L86" s="12">
        <f t="shared" si="8"/>
        <v>0.21593999999999999</v>
      </c>
      <c r="M86" s="12">
        <f t="shared" si="8"/>
        <v>0.28162999999999999</v>
      </c>
      <c r="N86" s="2">
        <f t="shared" si="9"/>
        <v>6.0000000000004494E-5</v>
      </c>
      <c r="O86" s="13">
        <f t="shared" si="10"/>
        <v>2.7777777777779859E-4</v>
      </c>
      <c r="P86" s="14"/>
    </row>
    <row r="87" spans="2:16">
      <c r="B87" s="1">
        <f t="shared" si="11"/>
        <v>84</v>
      </c>
      <c r="C87" s="8">
        <v>0.20200000000000001</v>
      </c>
      <c r="D87" s="8">
        <v>0.27100000000000002</v>
      </c>
      <c r="E87" s="8">
        <v>9.0069999999999997</v>
      </c>
      <c r="F87" s="9" t="s">
        <v>156</v>
      </c>
      <c r="G87" s="9" t="s">
        <v>157</v>
      </c>
      <c r="H87" s="15" t="str">
        <f t="shared" si="7"/>
        <v>202,44</v>
      </c>
      <c r="I87" s="15" t="str">
        <f t="shared" si="7"/>
        <v>271,12</v>
      </c>
      <c r="J87" s="11">
        <v>202.44</v>
      </c>
      <c r="K87" s="11">
        <v>271.12</v>
      </c>
      <c r="L87" s="12">
        <f t="shared" si="8"/>
        <v>0.20244000000000001</v>
      </c>
      <c r="M87" s="12">
        <f t="shared" si="8"/>
        <v>0.27112000000000003</v>
      </c>
      <c r="N87" s="2">
        <f t="shared" si="9"/>
        <v>4.3999999999999595E-4</v>
      </c>
      <c r="O87" s="13">
        <f t="shared" si="10"/>
        <v>2.178217821782158E-3</v>
      </c>
      <c r="P87" s="14"/>
    </row>
    <row r="88" spans="2:16">
      <c r="B88" s="1">
        <f t="shared" si="11"/>
        <v>85</v>
      </c>
      <c r="C88" s="8">
        <v>0.193</v>
      </c>
      <c r="D88" s="8">
        <v>0.23400000000000001</v>
      </c>
      <c r="E88" s="8">
        <v>6.6950000000000003</v>
      </c>
      <c r="F88" s="9" t="s">
        <v>158</v>
      </c>
      <c r="G88" s="9" t="s">
        <v>159</v>
      </c>
      <c r="H88" s="15" t="str">
        <f t="shared" si="7"/>
        <v>193,20</v>
      </c>
      <c r="I88" s="15" t="str">
        <f t="shared" si="7"/>
        <v>233,70</v>
      </c>
      <c r="J88" s="11">
        <v>193.2</v>
      </c>
      <c r="K88" s="11">
        <v>233.7</v>
      </c>
      <c r="L88" s="12">
        <f t="shared" si="8"/>
        <v>0.19319999999999998</v>
      </c>
      <c r="M88" s="12">
        <f t="shared" si="8"/>
        <v>0.23369999999999999</v>
      </c>
      <c r="N88" s="2">
        <f t="shared" si="9"/>
        <v>1.9999999999997797E-4</v>
      </c>
      <c r="O88" s="13">
        <f t="shared" si="10"/>
        <v>1.0362694300516994E-3</v>
      </c>
      <c r="P88" s="14"/>
    </row>
    <row r="89" spans="2:16">
      <c r="B89" s="1">
        <f t="shared" si="11"/>
        <v>86</v>
      </c>
      <c r="C89" s="8">
        <v>0.222</v>
      </c>
      <c r="D89" s="8">
        <v>0.155</v>
      </c>
      <c r="E89" s="8">
        <v>2.9540000000000002</v>
      </c>
      <c r="F89" s="9" t="s">
        <v>160</v>
      </c>
      <c r="G89" s="9" t="s">
        <v>161</v>
      </c>
      <c r="H89" s="15" t="str">
        <f t="shared" si="7"/>
        <v>221,60</v>
      </c>
      <c r="I89" s="15" t="str">
        <f t="shared" si="7"/>
        <v>155,33</v>
      </c>
      <c r="J89" s="11">
        <v>221.6</v>
      </c>
      <c r="K89" s="11">
        <v>155.33000000000001</v>
      </c>
      <c r="L89" s="12">
        <f t="shared" si="8"/>
        <v>0.22159999999999999</v>
      </c>
      <c r="M89" s="12">
        <f t="shared" si="8"/>
        <v>0.15533000000000002</v>
      </c>
      <c r="N89" s="2">
        <f t="shared" si="9"/>
        <v>4.0000000000001146E-4</v>
      </c>
      <c r="O89" s="13">
        <f t="shared" si="10"/>
        <v>1.8018018018018534E-3</v>
      </c>
      <c r="P89" s="14"/>
    </row>
    <row r="90" spans="2:16">
      <c r="B90" s="1">
        <f t="shared" si="11"/>
        <v>87</v>
      </c>
      <c r="C90" s="8">
        <v>0.218</v>
      </c>
      <c r="D90" s="8">
        <v>0.26700000000000002</v>
      </c>
      <c r="E90" s="8">
        <v>8.7509999999999994</v>
      </c>
      <c r="F90" s="9" t="s">
        <v>162</v>
      </c>
      <c r="G90" s="9" t="s">
        <v>163</v>
      </c>
      <c r="H90" s="15" t="str">
        <f t="shared" si="7"/>
        <v>217,84</v>
      </c>
      <c r="I90" s="15" t="str">
        <f t="shared" si="7"/>
        <v>267,17</v>
      </c>
      <c r="J90" s="11">
        <v>217.84</v>
      </c>
      <c r="K90" s="11">
        <v>267.17</v>
      </c>
      <c r="L90" s="12">
        <f t="shared" si="8"/>
        <v>0.21784000000000001</v>
      </c>
      <c r="M90" s="12">
        <f t="shared" si="8"/>
        <v>0.26717000000000002</v>
      </c>
      <c r="N90" s="2">
        <f t="shared" si="9"/>
        <v>1.5999999999999348E-4</v>
      </c>
      <c r="O90" s="13">
        <f t="shared" si="10"/>
        <v>7.3394495412841044E-4</v>
      </c>
      <c r="P90" s="14"/>
    </row>
    <row r="91" spans="2:16">
      <c r="B91" s="1">
        <f t="shared" si="11"/>
        <v>88</v>
      </c>
      <c r="C91" s="8">
        <v>0.188</v>
      </c>
      <c r="D91" s="8">
        <v>0.24099999999999999</v>
      </c>
      <c r="E91" s="8">
        <v>7.1239999999999997</v>
      </c>
      <c r="F91" s="9" t="s">
        <v>164</v>
      </c>
      <c r="G91" s="9" t="s">
        <v>165</v>
      </c>
      <c r="H91" s="15" t="str">
        <f t="shared" si="7"/>
        <v>188,36</v>
      </c>
      <c r="I91" s="15" t="str">
        <f t="shared" si="7"/>
        <v>241,06</v>
      </c>
      <c r="J91" s="11">
        <v>188.36</v>
      </c>
      <c r="K91" s="11">
        <v>241.06</v>
      </c>
      <c r="L91" s="12">
        <f t="shared" si="8"/>
        <v>0.18836000000000003</v>
      </c>
      <c r="M91" s="12">
        <f t="shared" si="8"/>
        <v>0.24106</v>
      </c>
      <c r="N91" s="2">
        <f t="shared" si="9"/>
        <v>3.6000000000002697E-4</v>
      </c>
      <c r="O91" s="13">
        <f t="shared" si="10"/>
        <v>1.91489361702142E-3</v>
      </c>
      <c r="P91" s="14"/>
    </row>
    <row r="92" spans="2:16">
      <c r="B92" s="1">
        <f t="shared" si="11"/>
        <v>89</v>
      </c>
      <c r="C92" s="8">
        <v>0.20399999999999999</v>
      </c>
      <c r="D92" s="8">
        <v>0.215</v>
      </c>
      <c r="E92" s="8">
        <v>5.6689999999999996</v>
      </c>
      <c r="F92" s="9" t="s">
        <v>166</v>
      </c>
      <c r="G92" s="9" t="s">
        <v>167</v>
      </c>
      <c r="H92" s="15" t="str">
        <f t="shared" si="7"/>
        <v>203,53</v>
      </c>
      <c r="I92" s="15" t="str">
        <f t="shared" si="7"/>
        <v>215,02</v>
      </c>
      <c r="J92" s="11">
        <v>203.53</v>
      </c>
      <c r="K92" s="11">
        <v>215.02</v>
      </c>
      <c r="L92" s="12">
        <f t="shared" si="8"/>
        <v>0.20352999999999999</v>
      </c>
      <c r="M92" s="12">
        <f t="shared" si="8"/>
        <v>0.21502000000000002</v>
      </c>
      <c r="N92" s="2">
        <f t="shared" si="9"/>
        <v>4.699999999999982E-4</v>
      </c>
      <c r="O92" s="13">
        <f t="shared" si="10"/>
        <v>2.3039215686274424E-3</v>
      </c>
      <c r="P92" s="14"/>
    </row>
    <row r="93" spans="2:16">
      <c r="B93" s="1">
        <f t="shared" si="11"/>
        <v>90</v>
      </c>
      <c r="C93" s="8">
        <v>0.184</v>
      </c>
      <c r="D93" s="8">
        <v>0.21</v>
      </c>
      <c r="E93" s="8">
        <v>5.3929999999999998</v>
      </c>
      <c r="F93" s="9" t="s">
        <v>168</v>
      </c>
      <c r="G93" s="9" t="s">
        <v>169</v>
      </c>
      <c r="H93" s="15" t="str">
        <f t="shared" si="7"/>
        <v>184,26</v>
      </c>
      <c r="I93" s="15" t="str">
        <f t="shared" si="7"/>
        <v>209,91</v>
      </c>
      <c r="J93" s="11">
        <v>184.26</v>
      </c>
      <c r="K93" s="11">
        <v>209.91</v>
      </c>
      <c r="L93" s="12">
        <f t="shared" si="8"/>
        <v>0.18425999999999998</v>
      </c>
      <c r="M93" s="12">
        <f t="shared" si="8"/>
        <v>0.20990999999999999</v>
      </c>
      <c r="N93" s="2">
        <f t="shared" si="9"/>
        <v>2.5999999999998247E-4</v>
      </c>
      <c r="O93" s="13">
        <f t="shared" si="10"/>
        <v>1.4130434782607744E-3</v>
      </c>
      <c r="P93" s="14"/>
    </row>
    <row r="94" spans="2:16">
      <c r="B94" s="1">
        <f t="shared" si="11"/>
        <v>91</v>
      </c>
      <c r="C94" s="8">
        <v>0.23200000000000001</v>
      </c>
      <c r="D94" s="8">
        <v>0.21299999999999999</v>
      </c>
      <c r="E94" s="8">
        <v>5.57</v>
      </c>
      <c r="F94" s="9" t="s">
        <v>170</v>
      </c>
      <c r="G94" s="9" t="s">
        <v>171</v>
      </c>
      <c r="H94" s="15" t="str">
        <f t="shared" si="7"/>
        <v>231,52</v>
      </c>
      <c r="I94" s="15" t="str">
        <f t="shared" si="7"/>
        <v>213,16</v>
      </c>
      <c r="J94" s="11">
        <v>231.52</v>
      </c>
      <c r="K94" s="11">
        <v>213.16</v>
      </c>
      <c r="L94" s="12">
        <f t="shared" si="8"/>
        <v>0.23152</v>
      </c>
      <c r="M94" s="12">
        <f t="shared" si="8"/>
        <v>0.21315999999999999</v>
      </c>
      <c r="N94" s="2">
        <f t="shared" si="9"/>
        <v>4.800000000000082E-4</v>
      </c>
      <c r="O94" s="13">
        <f t="shared" si="10"/>
        <v>2.0689655172414145E-3</v>
      </c>
      <c r="P94" s="14"/>
    </row>
    <row r="95" spans="2:16">
      <c r="B95" s="1">
        <f t="shared" si="11"/>
        <v>92</v>
      </c>
      <c r="C95" s="8">
        <v>0.21099999999999999</v>
      </c>
      <c r="D95" s="8">
        <v>0.32400000000000001</v>
      </c>
      <c r="E95" s="8">
        <v>12.894</v>
      </c>
      <c r="F95" s="9" t="s">
        <v>172</v>
      </c>
      <c r="G95" s="9" t="s">
        <v>11</v>
      </c>
      <c r="H95" s="15" t="str">
        <f t="shared" si="7"/>
        <v>211,44</v>
      </c>
      <c r="I95" s="15" t="str">
        <f t="shared" si="7"/>
        <v>324,31</v>
      </c>
      <c r="J95" s="11">
        <v>211.44</v>
      </c>
      <c r="K95" s="11">
        <v>324.31</v>
      </c>
      <c r="L95" s="12">
        <f t="shared" si="8"/>
        <v>0.21143999999999999</v>
      </c>
      <c r="M95" s="12">
        <f t="shared" si="8"/>
        <v>0.32430999999999999</v>
      </c>
      <c r="N95" s="2">
        <f t="shared" si="9"/>
        <v>4.3999999999999595E-4</v>
      </c>
      <c r="O95" s="13">
        <f t="shared" si="10"/>
        <v>2.0853080568720189E-3</v>
      </c>
      <c r="P95" s="14"/>
    </row>
    <row r="96" spans="2:16">
      <c r="B96" s="1">
        <f t="shared" si="11"/>
        <v>93</v>
      </c>
      <c r="C96" s="8">
        <v>0.26</v>
      </c>
      <c r="D96" s="8">
        <v>0.46200000000000002</v>
      </c>
      <c r="E96" s="8">
        <v>26.119</v>
      </c>
      <c r="F96" s="9" t="s">
        <v>173</v>
      </c>
      <c r="G96" s="9" t="s">
        <v>174</v>
      </c>
      <c r="H96" s="15" t="str">
        <f t="shared" si="7"/>
        <v>260,02</v>
      </c>
      <c r="I96" s="15" t="str">
        <f t="shared" si="7"/>
        <v>461,55</v>
      </c>
      <c r="J96" s="11">
        <v>260.02</v>
      </c>
      <c r="K96" s="11">
        <v>461.55</v>
      </c>
      <c r="L96" s="12">
        <f t="shared" si="8"/>
        <v>0.26001999999999997</v>
      </c>
      <c r="M96" s="12">
        <f t="shared" si="8"/>
        <v>0.46155000000000002</v>
      </c>
      <c r="N96" s="2">
        <f t="shared" si="9"/>
        <v>1.9999999999964491E-5</v>
      </c>
      <c r="O96" s="13">
        <f t="shared" si="10"/>
        <v>7.6923076922940343E-5</v>
      </c>
      <c r="P96" s="14"/>
    </row>
    <row r="97" spans="2:16">
      <c r="B97" s="1">
        <f t="shared" si="11"/>
        <v>94</v>
      </c>
      <c r="C97" s="8">
        <v>0.26800000000000002</v>
      </c>
      <c r="D97" s="8">
        <v>0.48799999999999999</v>
      </c>
      <c r="E97" s="8">
        <v>29.152999999999999</v>
      </c>
      <c r="F97" s="9" t="s">
        <v>175</v>
      </c>
      <c r="G97" s="9" t="s">
        <v>176</v>
      </c>
      <c r="H97" s="15" t="str">
        <f t="shared" si="7"/>
        <v>268,04</v>
      </c>
      <c r="I97" s="15" t="str">
        <f t="shared" si="7"/>
        <v>487,63</v>
      </c>
      <c r="J97" s="11">
        <v>268.04000000000002</v>
      </c>
      <c r="K97" s="11">
        <v>487.63</v>
      </c>
      <c r="L97" s="12">
        <f t="shared" si="8"/>
        <v>0.26804</v>
      </c>
      <c r="M97" s="12">
        <f t="shared" si="8"/>
        <v>0.48763000000000001</v>
      </c>
      <c r="N97" s="2">
        <f t="shared" si="9"/>
        <v>3.9999999999984492E-5</v>
      </c>
      <c r="O97" s="13">
        <f t="shared" si="10"/>
        <v>1.4925373134322571E-4</v>
      </c>
      <c r="P97" s="14"/>
    </row>
    <row r="98" spans="2:16">
      <c r="B98" s="1">
        <f t="shared" si="11"/>
        <v>95</v>
      </c>
      <c r="C98" s="8">
        <v>0.318</v>
      </c>
      <c r="D98" s="8">
        <v>0.53700000000000003</v>
      </c>
      <c r="E98" s="8">
        <v>35.406999999999996</v>
      </c>
      <c r="F98" s="9" t="s">
        <v>177</v>
      </c>
      <c r="G98" s="9" t="s">
        <v>178</v>
      </c>
      <c r="H98" s="15" t="str">
        <f t="shared" si="7"/>
        <v>317,62</v>
      </c>
      <c r="I98" s="15" t="str">
        <f t="shared" si="7"/>
        <v>537,38</v>
      </c>
      <c r="J98" s="11">
        <v>317.62</v>
      </c>
      <c r="K98" s="11">
        <v>537.38</v>
      </c>
      <c r="L98" s="12">
        <f t="shared" si="8"/>
        <v>0.31762000000000001</v>
      </c>
      <c r="M98" s="12">
        <f t="shared" si="8"/>
        <v>0.53737999999999997</v>
      </c>
      <c r="N98" s="2">
        <f t="shared" si="9"/>
        <v>3.7999999999999146E-4</v>
      </c>
      <c r="O98" s="13">
        <f t="shared" si="10"/>
        <v>1.1949685534590926E-3</v>
      </c>
      <c r="P98" s="14"/>
    </row>
    <row r="99" spans="2:16">
      <c r="B99" s="16">
        <f t="shared" si="11"/>
        <v>96</v>
      </c>
      <c r="C99" s="16">
        <v>0.182</v>
      </c>
      <c r="D99" s="16">
        <v>0.20799999999999999</v>
      </c>
      <c r="E99" s="16">
        <v>5.2889999999999997</v>
      </c>
      <c r="F99" s="17" t="s">
        <v>179</v>
      </c>
      <c r="G99" s="17"/>
      <c r="H99" s="17" t="str">
        <f t="shared" si="7"/>
        <v>182,13</v>
      </c>
      <c r="I99" s="17" t="str">
        <f t="shared" si="7"/>
        <v/>
      </c>
      <c r="J99" s="18">
        <v>182.13</v>
      </c>
      <c r="K99" s="18"/>
      <c r="L99" s="19">
        <f t="shared" ref="L99:L116" si="12">J99/1000</f>
        <v>0.18212999999999999</v>
      </c>
      <c r="M99" s="16"/>
      <c r="N99" s="20">
        <f t="shared" si="9"/>
        <v>1.2999999999999123E-4</v>
      </c>
      <c r="O99" s="21">
        <f t="shared" si="10"/>
        <v>7.1428571428566615E-4</v>
      </c>
      <c r="P99" s="16"/>
    </row>
    <row r="100" spans="2:16">
      <c r="B100" s="16">
        <f t="shared" si="11"/>
        <v>97</v>
      </c>
      <c r="C100" s="16">
        <v>0.191</v>
      </c>
      <c r="D100" s="16">
        <v>0.254</v>
      </c>
      <c r="E100" s="16">
        <v>7.9089999999999998</v>
      </c>
      <c r="F100" s="17" t="s">
        <v>180</v>
      </c>
      <c r="G100" s="17"/>
      <c r="H100" s="17" t="str">
        <f t="shared" ref="H100:I116" si="13">SUBSTITUTE(F100,".",",")</f>
        <v>191,03</v>
      </c>
      <c r="I100" s="17" t="str">
        <f t="shared" si="13"/>
        <v/>
      </c>
      <c r="J100" s="18">
        <v>191.03</v>
      </c>
      <c r="K100" s="18"/>
      <c r="L100" s="19">
        <f t="shared" si="12"/>
        <v>0.19103000000000001</v>
      </c>
      <c r="M100" s="16"/>
      <c r="N100" s="20">
        <f t="shared" si="9"/>
        <v>3.0000000000002247E-5</v>
      </c>
      <c r="O100" s="21">
        <f t="shared" si="10"/>
        <v>1.5706806282723688E-4</v>
      </c>
      <c r="P100" s="16"/>
    </row>
    <row r="101" spans="2:16">
      <c r="B101" s="16">
        <f t="shared" si="11"/>
        <v>98</v>
      </c>
      <c r="C101" s="16">
        <v>0.19</v>
      </c>
      <c r="D101" s="16">
        <v>0.29899999999999999</v>
      </c>
      <c r="E101" s="16">
        <v>10.928000000000001</v>
      </c>
      <c r="F101" s="17" t="s">
        <v>181</v>
      </c>
      <c r="G101" s="17"/>
      <c r="H101" s="17" t="str">
        <f t="shared" si="13"/>
        <v>189,50</v>
      </c>
      <c r="I101" s="17" t="str">
        <f t="shared" si="13"/>
        <v/>
      </c>
      <c r="J101" s="18">
        <v>189.5</v>
      </c>
      <c r="K101" s="18"/>
      <c r="L101" s="19">
        <f t="shared" si="12"/>
        <v>0.1895</v>
      </c>
      <c r="M101" s="16"/>
      <c r="N101" s="20">
        <f t="shared" si="9"/>
        <v>5.0000000000000044E-4</v>
      </c>
      <c r="O101" s="21">
        <f t="shared" si="10"/>
        <v>2.6315789473684232E-3</v>
      </c>
      <c r="P101" s="16"/>
    </row>
    <row r="102" spans="2:16">
      <c r="B102" s="16">
        <f t="shared" si="11"/>
        <v>99</v>
      </c>
      <c r="C102" s="16">
        <v>0.20200000000000001</v>
      </c>
      <c r="D102" s="16">
        <v>0.245</v>
      </c>
      <c r="E102" s="16">
        <v>7.3330000000000002</v>
      </c>
      <c r="F102" s="17" t="s">
        <v>182</v>
      </c>
      <c r="G102" s="17"/>
      <c r="H102" s="17" t="str">
        <f t="shared" si="13"/>
        <v>201,66</v>
      </c>
      <c r="I102" s="17" t="str">
        <f t="shared" si="13"/>
        <v/>
      </c>
      <c r="J102" s="18">
        <v>201.66</v>
      </c>
      <c r="K102" s="18"/>
      <c r="L102" s="19">
        <f t="shared" si="12"/>
        <v>0.20166000000000001</v>
      </c>
      <c r="M102" s="16"/>
      <c r="N102" s="20">
        <f t="shared" si="9"/>
        <v>3.4000000000000696E-4</v>
      </c>
      <c r="O102" s="21">
        <f t="shared" si="10"/>
        <v>1.6831683168317176E-3</v>
      </c>
      <c r="P102" s="16"/>
    </row>
    <row r="103" spans="2:16">
      <c r="B103" s="16">
        <f t="shared" si="11"/>
        <v>100</v>
      </c>
      <c r="C103" s="16">
        <v>0.19500000000000001</v>
      </c>
      <c r="D103" s="16">
        <v>0.29199999999999998</v>
      </c>
      <c r="E103" s="16">
        <v>10.426</v>
      </c>
      <c r="F103" s="17" t="s">
        <v>183</v>
      </c>
      <c r="G103" s="17"/>
      <c r="H103" s="17" t="str">
        <f t="shared" si="13"/>
        <v>216,83</v>
      </c>
      <c r="I103" s="17" t="str">
        <f t="shared" si="13"/>
        <v/>
      </c>
      <c r="J103" s="18">
        <v>216.83</v>
      </c>
      <c r="K103" s="18"/>
      <c r="L103" s="19">
        <f t="shared" si="12"/>
        <v>0.21683000000000002</v>
      </c>
      <c r="M103" s="16"/>
      <c r="N103" s="20">
        <f t="shared" si="9"/>
        <v>2.1830000000000016E-2</v>
      </c>
      <c r="O103" s="21">
        <f t="shared" si="10"/>
        <v>0.11194871794871802</v>
      </c>
      <c r="P103" s="16"/>
    </row>
    <row r="104" spans="2:16">
      <c r="B104" s="16">
        <f t="shared" si="11"/>
        <v>101</v>
      </c>
      <c r="C104" s="16">
        <v>0.19600000000000001</v>
      </c>
      <c r="D104" s="16">
        <v>0.32500000000000001</v>
      </c>
      <c r="E104" s="16">
        <v>12.94</v>
      </c>
      <c r="F104" s="17" t="s">
        <v>184</v>
      </c>
      <c r="G104" s="17"/>
      <c r="H104" s="17" t="str">
        <f t="shared" si="13"/>
        <v>201,80</v>
      </c>
      <c r="I104" s="17" t="str">
        <f t="shared" si="13"/>
        <v/>
      </c>
      <c r="J104" s="18">
        <v>201.8</v>
      </c>
      <c r="K104" s="18"/>
      <c r="L104" s="19">
        <f t="shared" si="12"/>
        <v>0.20180000000000001</v>
      </c>
      <c r="M104" s="16"/>
      <c r="N104" s="20">
        <f t="shared" si="9"/>
        <v>5.7999999999999996E-3</v>
      </c>
      <c r="O104" s="21">
        <f t="shared" si="10"/>
        <v>2.9591836734693875E-2</v>
      </c>
      <c r="P104" s="16"/>
    </row>
    <row r="105" spans="2:16">
      <c r="B105" s="16">
        <f t="shared" si="11"/>
        <v>102</v>
      </c>
      <c r="C105" s="16">
        <v>0.19600000000000001</v>
      </c>
      <c r="D105" s="16">
        <v>0.33100000000000002</v>
      </c>
      <c r="E105" s="16">
        <v>13.451000000000001</v>
      </c>
      <c r="F105" s="17" t="s">
        <v>185</v>
      </c>
      <c r="G105" s="17"/>
      <c r="H105" s="17" t="str">
        <f t="shared" si="13"/>
        <v>211,24</v>
      </c>
      <c r="I105" s="17" t="str">
        <f t="shared" si="13"/>
        <v/>
      </c>
      <c r="J105" s="18">
        <v>211.24</v>
      </c>
      <c r="K105" s="18"/>
      <c r="L105" s="19">
        <f t="shared" si="12"/>
        <v>0.21124000000000001</v>
      </c>
      <c r="M105" s="16"/>
      <c r="N105" s="20">
        <f t="shared" si="9"/>
        <v>1.5240000000000004E-2</v>
      </c>
      <c r="O105" s="21">
        <f t="shared" si="10"/>
        <v>7.7755102040816343E-2</v>
      </c>
      <c r="P105" s="16"/>
    </row>
    <row r="106" spans="2:16">
      <c r="B106" s="16">
        <f t="shared" si="11"/>
        <v>103</v>
      </c>
      <c r="C106" s="16">
        <v>0.19600000000000001</v>
      </c>
      <c r="D106" s="16">
        <v>0.35399999999999998</v>
      </c>
      <c r="E106" s="16">
        <v>15.364000000000001</v>
      </c>
      <c r="F106" s="17" t="s">
        <v>186</v>
      </c>
      <c r="G106" s="17"/>
      <c r="H106" s="17" t="str">
        <f t="shared" si="13"/>
        <v>195,86</v>
      </c>
      <c r="I106" s="17" t="str">
        <f t="shared" si="13"/>
        <v/>
      </c>
      <c r="J106" s="18">
        <v>195.86</v>
      </c>
      <c r="K106" s="18"/>
      <c r="L106" s="19">
        <f t="shared" si="12"/>
        <v>0.19586000000000001</v>
      </c>
      <c r="M106" s="16"/>
      <c r="N106" s="20">
        <f t="shared" si="9"/>
        <v>1.4000000000000123E-4</v>
      </c>
      <c r="O106" s="21">
        <f t="shared" si="10"/>
        <v>7.1428571428572057E-4</v>
      </c>
      <c r="P106" s="16"/>
    </row>
    <row r="107" spans="2:16">
      <c r="B107" s="16">
        <f t="shared" si="11"/>
        <v>104</v>
      </c>
      <c r="C107" s="16">
        <v>0.28799999999999998</v>
      </c>
      <c r="D107" s="16">
        <v>0.28299999999999997</v>
      </c>
      <c r="E107" s="16">
        <v>9.8179999999999996</v>
      </c>
      <c r="F107" s="17" t="s">
        <v>187</v>
      </c>
      <c r="G107" s="17"/>
      <c r="H107" s="17" t="str">
        <f t="shared" si="13"/>
        <v>287,17</v>
      </c>
      <c r="I107" s="17" t="str">
        <f t="shared" si="13"/>
        <v/>
      </c>
      <c r="J107" s="18">
        <v>287.17</v>
      </c>
      <c r="K107" s="18"/>
      <c r="L107" s="19">
        <f t="shared" si="12"/>
        <v>0.28717000000000004</v>
      </c>
      <c r="M107" s="16"/>
      <c r="N107" s="20">
        <f t="shared" si="9"/>
        <v>8.299999999999419E-4</v>
      </c>
      <c r="O107" s="21">
        <f t="shared" si="10"/>
        <v>2.8819444444442431E-3</v>
      </c>
      <c r="P107" s="16"/>
    </row>
    <row r="108" spans="2:16">
      <c r="B108" s="16">
        <f t="shared" si="11"/>
        <v>105</v>
      </c>
      <c r="C108" s="16">
        <v>2.1930000000000001</v>
      </c>
      <c r="D108" s="16">
        <v>0.48499999999999999</v>
      </c>
      <c r="E108" s="16">
        <v>28.881</v>
      </c>
      <c r="F108" s="17" t="s">
        <v>188</v>
      </c>
      <c r="G108" s="17"/>
      <c r="H108" s="17" t="str">
        <f t="shared" si="13"/>
        <v>207,76</v>
      </c>
      <c r="I108" s="17" t="str">
        <f t="shared" si="13"/>
        <v/>
      </c>
      <c r="J108" s="18">
        <v>207.76</v>
      </c>
      <c r="K108" s="18"/>
      <c r="L108" s="19">
        <f t="shared" si="12"/>
        <v>0.20776</v>
      </c>
      <c r="M108" s="16"/>
      <c r="N108" s="20">
        <f t="shared" si="9"/>
        <v>1.9852400000000001</v>
      </c>
      <c r="O108" s="21">
        <f t="shared" si="10"/>
        <v>0.9052621979024168</v>
      </c>
      <c r="P108" s="16"/>
    </row>
    <row r="109" spans="2:16">
      <c r="B109" s="16">
        <f t="shared" si="11"/>
        <v>106</v>
      </c>
      <c r="C109" s="16">
        <v>4.8680000000000003</v>
      </c>
      <c r="D109" s="16">
        <v>0.23899999999999999</v>
      </c>
      <c r="E109" s="16">
        <v>6.9809999999999999</v>
      </c>
      <c r="F109" s="17" t="s">
        <v>189</v>
      </c>
      <c r="G109" s="17"/>
      <c r="H109" s="17" t="str">
        <f t="shared" si="13"/>
        <v>254,09</v>
      </c>
      <c r="I109" s="17" t="str">
        <f t="shared" si="13"/>
        <v/>
      </c>
      <c r="J109" s="18">
        <v>254.09</v>
      </c>
      <c r="K109" s="18"/>
      <c r="L109" s="19">
        <f t="shared" si="12"/>
        <v>0.25408999999999998</v>
      </c>
      <c r="M109" s="16"/>
      <c r="N109" s="20">
        <f t="shared" si="9"/>
        <v>4.6139100000000006</v>
      </c>
      <c r="O109" s="21">
        <f t="shared" si="10"/>
        <v>0.94780402629416605</v>
      </c>
      <c r="P109" s="16"/>
    </row>
    <row r="110" spans="2:16">
      <c r="B110" s="16">
        <f t="shared" si="11"/>
        <v>107</v>
      </c>
      <c r="C110" s="16">
        <v>6.3540000000000001</v>
      </c>
      <c r="D110" s="16">
        <v>0.505</v>
      </c>
      <c r="E110" s="16">
        <v>31.247</v>
      </c>
      <c r="F110" s="17" t="s">
        <v>190</v>
      </c>
      <c r="G110" s="17"/>
      <c r="H110" s="17" t="str">
        <f t="shared" si="13"/>
        <v>298,66</v>
      </c>
      <c r="I110" s="17" t="str">
        <f t="shared" si="13"/>
        <v/>
      </c>
      <c r="J110" s="18">
        <v>298.66000000000003</v>
      </c>
      <c r="K110" s="18"/>
      <c r="L110" s="19">
        <f t="shared" si="12"/>
        <v>0.29866000000000004</v>
      </c>
      <c r="M110" s="16"/>
      <c r="N110" s="20">
        <f t="shared" si="9"/>
        <v>6.0553400000000002</v>
      </c>
      <c r="O110" s="21">
        <f t="shared" si="10"/>
        <v>0.95299653761410141</v>
      </c>
      <c r="P110" s="16"/>
    </row>
    <row r="111" spans="2:16">
      <c r="B111" s="16">
        <f t="shared" si="11"/>
        <v>108</v>
      </c>
      <c r="C111" s="16">
        <v>3.9969999999999999</v>
      </c>
      <c r="D111" s="16">
        <v>0.49399999999999999</v>
      </c>
      <c r="E111" s="16">
        <v>29.92</v>
      </c>
      <c r="F111" s="17" t="s">
        <v>191</v>
      </c>
      <c r="G111" s="17"/>
      <c r="H111" s="17" t="str">
        <f t="shared" si="13"/>
        <v>244,57</v>
      </c>
      <c r="I111" s="17" t="str">
        <f t="shared" si="13"/>
        <v/>
      </c>
      <c r="J111" s="18">
        <v>244.57</v>
      </c>
      <c r="K111" s="18"/>
      <c r="L111" s="19">
        <f t="shared" si="12"/>
        <v>0.24456999999999998</v>
      </c>
      <c r="M111" s="16"/>
      <c r="N111" s="20">
        <f t="shared" si="9"/>
        <v>3.7524299999999999</v>
      </c>
      <c r="O111" s="21">
        <f t="shared" si="10"/>
        <v>0.93881160870652991</v>
      </c>
      <c r="P111" s="16"/>
    </row>
    <row r="112" spans="2:16">
      <c r="B112" s="16">
        <f t="shared" si="11"/>
        <v>109</v>
      </c>
      <c r="C112" s="16">
        <v>4.5149999999999997</v>
      </c>
      <c r="D112" s="16">
        <v>0.5</v>
      </c>
      <c r="E112" s="16">
        <v>30.635999999999999</v>
      </c>
      <c r="F112" s="17" t="s">
        <v>192</v>
      </c>
      <c r="G112" s="17"/>
      <c r="H112" s="17" t="str">
        <f t="shared" si="13"/>
        <v>269,50</v>
      </c>
      <c r="I112" s="17" t="str">
        <f t="shared" si="13"/>
        <v/>
      </c>
      <c r="J112" s="18">
        <v>269.5</v>
      </c>
      <c r="K112" s="18"/>
      <c r="L112" s="19">
        <f t="shared" si="12"/>
        <v>0.26950000000000002</v>
      </c>
      <c r="M112" s="16"/>
      <c r="N112" s="20">
        <f t="shared" si="9"/>
        <v>4.2454999999999998</v>
      </c>
      <c r="O112" s="21">
        <f t="shared" si="10"/>
        <v>0.94031007751937989</v>
      </c>
      <c r="P112" s="16"/>
    </row>
    <row r="113" spans="2:16">
      <c r="B113" s="16">
        <f t="shared" si="11"/>
        <v>110</v>
      </c>
      <c r="C113" s="16">
        <v>3.419</v>
      </c>
      <c r="D113" s="16">
        <v>0.25600000000000001</v>
      </c>
      <c r="E113" s="16">
        <v>8.0510000000000002</v>
      </c>
      <c r="F113" s="17" t="s">
        <v>193</v>
      </c>
      <c r="G113" s="17"/>
      <c r="H113" s="17" t="str">
        <f t="shared" si="13"/>
        <v>318,79</v>
      </c>
      <c r="I113" s="17" t="str">
        <f t="shared" si="13"/>
        <v/>
      </c>
      <c r="J113" s="18">
        <v>318.79000000000002</v>
      </c>
      <c r="K113" s="18"/>
      <c r="L113" s="19">
        <f t="shared" si="12"/>
        <v>0.31879000000000002</v>
      </c>
      <c r="M113" s="16"/>
      <c r="N113" s="20">
        <f t="shared" si="9"/>
        <v>3.1002100000000001</v>
      </c>
      <c r="O113" s="21">
        <f t="shared" si="10"/>
        <v>0.90675928634103542</v>
      </c>
      <c r="P113" s="16"/>
    </row>
    <row r="114" spans="2:16">
      <c r="B114" s="16">
        <f t="shared" si="11"/>
        <v>111</v>
      </c>
      <c r="C114" s="16">
        <v>0.26600000000000001</v>
      </c>
      <c r="D114" s="16">
        <v>0.26200000000000001</v>
      </c>
      <c r="E114" s="16">
        <v>8.3919999999999995</v>
      </c>
      <c r="F114" s="17" t="s">
        <v>194</v>
      </c>
      <c r="G114" s="17"/>
      <c r="H114" s="17" t="str">
        <f t="shared" si="13"/>
        <v>315,68</v>
      </c>
      <c r="I114" s="17" t="str">
        <f t="shared" si="13"/>
        <v/>
      </c>
      <c r="J114" s="18">
        <v>315.68</v>
      </c>
      <c r="K114" s="18"/>
      <c r="L114" s="19">
        <f t="shared" si="12"/>
        <v>0.31568000000000002</v>
      </c>
      <c r="M114" s="16"/>
      <c r="N114" s="20">
        <f t="shared" si="9"/>
        <v>4.9680000000000002E-2</v>
      </c>
      <c r="O114" s="21">
        <f t="shared" si="10"/>
        <v>0.18676691729323308</v>
      </c>
      <c r="P114" s="16"/>
    </row>
    <row r="115" spans="2:16">
      <c r="B115" s="16">
        <f t="shared" si="11"/>
        <v>112</v>
      </c>
      <c r="C115" s="16">
        <v>0.29799999999999999</v>
      </c>
      <c r="D115" s="16">
        <v>0.26</v>
      </c>
      <c r="E115" s="16">
        <v>8.2690000000000001</v>
      </c>
      <c r="F115" s="17" t="s">
        <v>195</v>
      </c>
      <c r="G115" s="17"/>
      <c r="H115" s="17" t="str">
        <f t="shared" si="13"/>
        <v>355,11</v>
      </c>
      <c r="I115" s="17" t="str">
        <f t="shared" si="13"/>
        <v/>
      </c>
      <c r="J115" s="18">
        <v>355.11</v>
      </c>
      <c r="K115" s="18"/>
      <c r="L115" s="19">
        <f t="shared" si="12"/>
        <v>0.35511000000000004</v>
      </c>
      <c r="M115" s="16"/>
      <c r="N115" s="20">
        <f t="shared" si="9"/>
        <v>5.711000000000005E-2</v>
      </c>
      <c r="O115" s="21">
        <f t="shared" si="10"/>
        <v>0.1916442953020136</v>
      </c>
      <c r="P115" s="16"/>
    </row>
    <row r="116" spans="2:16">
      <c r="B116" s="16">
        <f t="shared" si="11"/>
        <v>113</v>
      </c>
      <c r="C116" s="16">
        <v>0.308</v>
      </c>
      <c r="D116" s="16">
        <v>0.251</v>
      </c>
      <c r="E116" s="16">
        <v>7.7530000000000001</v>
      </c>
      <c r="F116" s="17" t="s">
        <v>196</v>
      </c>
      <c r="G116" s="17"/>
      <c r="H116" s="17" t="str">
        <f t="shared" si="13"/>
        <v>283,00</v>
      </c>
      <c r="I116" s="17" t="str">
        <f t="shared" si="13"/>
        <v/>
      </c>
      <c r="J116" s="18">
        <v>283</v>
      </c>
      <c r="K116" s="18"/>
      <c r="L116" s="19">
        <f t="shared" si="12"/>
        <v>0.28299999999999997</v>
      </c>
      <c r="M116" s="16"/>
      <c r="N116" s="20">
        <f t="shared" si="9"/>
        <v>2.5000000000000022E-2</v>
      </c>
      <c r="O116" s="21">
        <f t="shared" si="10"/>
        <v>8.1168831168831237E-2</v>
      </c>
      <c r="P116" s="16"/>
    </row>
    <row r="117" spans="2:16">
      <c r="B117" s="16">
        <f t="shared" si="11"/>
        <v>114</v>
      </c>
      <c r="C117" s="16">
        <v>0.29299999999999998</v>
      </c>
      <c r="D117" s="16">
        <v>0.247</v>
      </c>
      <c r="E117" s="16">
        <v>7.4770000000000003</v>
      </c>
      <c r="F117" s="17"/>
      <c r="G117" s="17"/>
      <c r="H117" s="17"/>
      <c r="I117" s="17"/>
      <c r="J117" s="18"/>
      <c r="K117" s="18"/>
      <c r="L117" s="19"/>
      <c r="M117" s="16"/>
      <c r="N117" s="20"/>
      <c r="O117" s="21"/>
      <c r="P117" s="16"/>
    </row>
    <row r="118" spans="2:16">
      <c r="B118" s="16"/>
      <c r="C118" s="16"/>
      <c r="D118" s="16"/>
      <c r="E118" s="16"/>
      <c r="F118" s="17"/>
      <c r="G118" s="17"/>
      <c r="H118" s="17"/>
      <c r="I118" s="17"/>
      <c r="J118" s="18"/>
      <c r="K118" s="18"/>
      <c r="L118" s="19"/>
      <c r="M118" s="16"/>
      <c r="N118" s="20"/>
      <c r="O118" s="21"/>
      <c r="P118" s="16"/>
    </row>
  </sheetData>
  <mergeCells count="2">
    <mergeCell ref="C2:E2"/>
    <mergeCell ref="L2:M2"/>
  </mergeCells>
  <conditionalFormatting sqref="O4:O98">
    <cfRule type="cellIs" dxfId="0" priority="1" stopIfTrue="1" operator="greaterThan">
      <formula>0.5%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Q68"/>
  <sheetViews>
    <sheetView tabSelected="1" topLeftCell="A7" workbookViewId="0">
      <selection activeCell="Q67" sqref="Q67"/>
    </sheetView>
  </sheetViews>
  <sheetFormatPr baseColWidth="10" defaultRowHeight="14.4"/>
  <sheetData>
    <row r="5" spans="2:8">
      <c r="B5" t="e">
        <f>+ SESSION</f>
        <v>#NAME?</v>
      </c>
    </row>
    <row r="7" spans="2:8">
      <c r="B7" t="s">
        <v>197</v>
      </c>
      <c r="C7" t="s">
        <v>198</v>
      </c>
      <c r="D7" t="s">
        <v>199</v>
      </c>
      <c r="E7" t="s">
        <v>200</v>
      </c>
      <c r="F7" t="s">
        <v>201</v>
      </c>
    </row>
    <row r="8" spans="2:8">
      <c r="B8">
        <v>195</v>
      </c>
      <c r="C8" t="s">
        <v>202</v>
      </c>
      <c r="E8" s="22">
        <v>45905</v>
      </c>
    </row>
    <row r="10" spans="2:8">
      <c r="B10" t="e">
        <f>+ PERSONS</f>
        <v>#NAME?</v>
      </c>
    </row>
    <row r="12" spans="2:8">
      <c r="B12" t="s">
        <v>203</v>
      </c>
      <c r="C12" t="s">
        <v>198</v>
      </c>
      <c r="D12" t="s">
        <v>204</v>
      </c>
      <c r="E12" t="s">
        <v>205</v>
      </c>
      <c r="F12" t="s">
        <v>206</v>
      </c>
      <c r="G12" t="s">
        <v>207</v>
      </c>
      <c r="H12" t="s">
        <v>208</v>
      </c>
    </row>
    <row r="13" spans="2:8">
      <c r="B13">
        <v>357</v>
      </c>
      <c r="C13" t="s">
        <v>209</v>
      </c>
      <c r="D13" t="s">
        <v>210</v>
      </c>
      <c r="E13" s="22">
        <v>28337</v>
      </c>
      <c r="G13">
        <v>0</v>
      </c>
      <c r="H13">
        <v>83</v>
      </c>
    </row>
    <row r="15" spans="2:8">
      <c r="B15" t="e">
        <f>+ REACTIVE JUMPS (WITH SUBJUMPS)</f>
        <v>#NAME?</v>
      </c>
    </row>
    <row r="17" spans="2:13">
      <c r="B17" t="s">
        <v>211</v>
      </c>
      <c r="C17" t="s">
        <v>212</v>
      </c>
      <c r="D17" t="s">
        <v>213</v>
      </c>
      <c r="E17" t="s">
        <v>214</v>
      </c>
      <c r="F17" t="s">
        <v>215</v>
      </c>
      <c r="G17" t="s">
        <v>216</v>
      </c>
      <c r="H17" t="s">
        <v>217</v>
      </c>
    </row>
    <row r="18" spans="2:13">
      <c r="B18">
        <v>357</v>
      </c>
      <c r="C18" t="s">
        <v>209</v>
      </c>
      <c r="D18">
        <v>195</v>
      </c>
      <c r="E18">
        <v>309</v>
      </c>
      <c r="F18" t="s">
        <v>218</v>
      </c>
      <c r="G18">
        <v>0.23</v>
      </c>
      <c r="H18">
        <v>1.147</v>
      </c>
    </row>
    <row r="19" spans="2:13">
      <c r="B19" t="s">
        <v>219</v>
      </c>
      <c r="C19" t="s">
        <v>3</v>
      </c>
      <c r="D19" t="s">
        <v>220</v>
      </c>
      <c r="E19" t="s">
        <v>207</v>
      </c>
      <c r="F19" t="s">
        <v>221</v>
      </c>
      <c r="G19" t="s">
        <v>222</v>
      </c>
      <c r="H19" t="s">
        <v>223</v>
      </c>
    </row>
    <row r="20" spans="2:13">
      <c r="B20" t="s">
        <v>224</v>
      </c>
      <c r="C20">
        <v>1.5880000000000001</v>
      </c>
      <c r="D20">
        <v>6.0780000000000003</v>
      </c>
    </row>
    <row r="21" spans="2:13">
      <c r="B21" t="s">
        <v>225</v>
      </c>
      <c r="C21">
        <v>0.159</v>
      </c>
      <c r="D21">
        <v>0.60799999999999998</v>
      </c>
    </row>
    <row r="22" spans="2:13">
      <c r="B22" t="s">
        <v>226</v>
      </c>
      <c r="C22">
        <v>4.3999999999999997E-2</v>
      </c>
      <c r="D22">
        <v>0.19400000000000001</v>
      </c>
    </row>
    <row r="23" spans="2:13">
      <c r="B23">
        <v>1</v>
      </c>
      <c r="C23">
        <v>0.16600000000000001</v>
      </c>
      <c r="D23">
        <v>0.58899999999999997</v>
      </c>
      <c r="E23">
        <v>42.508000000000003</v>
      </c>
      <c r="F23">
        <v>2.5579999999999998</v>
      </c>
      <c r="G23">
        <v>3062.3119999999999</v>
      </c>
      <c r="H23">
        <v>35855.618999999999</v>
      </c>
      <c r="J23">
        <v>163.22999999999999</v>
      </c>
      <c r="K23">
        <v>498.41</v>
      </c>
      <c r="L23">
        <f>J23/1000</f>
        <v>0.16322999999999999</v>
      </c>
      <c r="M23">
        <f>K23/1000</f>
        <v>0.49841000000000002</v>
      </c>
    </row>
    <row r="24" spans="2:13">
      <c r="B24">
        <v>2</v>
      </c>
      <c r="C24">
        <v>0.23</v>
      </c>
      <c r="D24">
        <v>0.504</v>
      </c>
      <c r="E24">
        <v>31.172000000000001</v>
      </c>
      <c r="F24">
        <v>1.353</v>
      </c>
      <c r="G24">
        <v>2603.212</v>
      </c>
      <c r="H24">
        <v>20466.668000000001</v>
      </c>
      <c r="J24">
        <v>232.18</v>
      </c>
      <c r="K24">
        <v>462.3</v>
      </c>
      <c r="L24">
        <f t="shared" ref="L24:L32" si="0">J24/1000</f>
        <v>0.23218</v>
      </c>
      <c r="M24">
        <f t="shared" ref="M24:M32" si="1">K24/1000</f>
        <v>0.46229999999999999</v>
      </c>
    </row>
    <row r="25" spans="2:13">
      <c r="B25">
        <v>3</v>
      </c>
      <c r="C25">
        <v>0.17299999999999999</v>
      </c>
      <c r="D25">
        <v>0.50800000000000001</v>
      </c>
      <c r="E25">
        <v>31.620999999999999</v>
      </c>
      <c r="F25">
        <v>1.8320000000000001</v>
      </c>
      <c r="G25">
        <v>2962.9380000000001</v>
      </c>
      <c r="H25">
        <v>34353.635999999999</v>
      </c>
      <c r="J25">
        <v>243.8</v>
      </c>
      <c r="K25">
        <v>422.22</v>
      </c>
      <c r="L25">
        <f t="shared" si="0"/>
        <v>0.24380000000000002</v>
      </c>
      <c r="M25">
        <f t="shared" si="1"/>
        <v>0.42222000000000004</v>
      </c>
    </row>
    <row r="26" spans="2:13">
      <c r="B26">
        <v>4</v>
      </c>
      <c r="C26">
        <v>0.17100000000000001</v>
      </c>
      <c r="D26">
        <v>0.57499999999999996</v>
      </c>
      <c r="E26">
        <v>40.514000000000003</v>
      </c>
      <c r="F26">
        <v>2.3719999999999999</v>
      </c>
      <c r="G26">
        <v>3439.0970000000002</v>
      </c>
      <c r="H26">
        <v>34246.779000000002</v>
      </c>
      <c r="J26">
        <v>267.66000000000003</v>
      </c>
      <c r="K26">
        <v>394.76</v>
      </c>
      <c r="L26">
        <f t="shared" si="0"/>
        <v>0.26766000000000001</v>
      </c>
      <c r="M26">
        <f t="shared" si="1"/>
        <v>0.39476</v>
      </c>
    </row>
    <row r="27" spans="2:13">
      <c r="B27">
        <v>5</v>
      </c>
      <c r="C27">
        <v>0.182</v>
      </c>
      <c r="D27">
        <v>0.53800000000000003</v>
      </c>
      <c r="E27">
        <v>35.502000000000002</v>
      </c>
      <c r="F27">
        <v>1.9470000000000001</v>
      </c>
      <c r="G27">
        <v>3394.7869999999998</v>
      </c>
      <c r="H27">
        <v>30757.733</v>
      </c>
      <c r="J27">
        <v>252.28</v>
      </c>
      <c r="K27">
        <v>562.73</v>
      </c>
      <c r="L27">
        <f t="shared" si="0"/>
        <v>0.25228</v>
      </c>
      <c r="M27">
        <f t="shared" si="1"/>
        <v>0.56273000000000006</v>
      </c>
    </row>
    <row r="28" spans="2:13">
      <c r="B28">
        <v>6</v>
      </c>
      <c r="C28">
        <v>0.13600000000000001</v>
      </c>
      <c r="D28">
        <v>0.62</v>
      </c>
      <c r="E28">
        <v>47.146999999999998</v>
      </c>
      <c r="F28">
        <v>3.4580000000000002</v>
      </c>
      <c r="G28">
        <v>4935.9470000000001</v>
      </c>
      <c r="H28">
        <v>51339.091</v>
      </c>
      <c r="J28">
        <v>243.9</v>
      </c>
      <c r="K28">
        <v>468.45</v>
      </c>
      <c r="L28">
        <f t="shared" si="0"/>
        <v>0.24390000000000001</v>
      </c>
      <c r="M28">
        <f t="shared" si="1"/>
        <v>0.46844999999999998</v>
      </c>
    </row>
    <row r="29" spans="2:13">
      <c r="B29">
        <v>7</v>
      </c>
      <c r="C29">
        <v>9.8000000000000004E-2</v>
      </c>
      <c r="D29">
        <v>0.56799999999999995</v>
      </c>
      <c r="E29">
        <v>39.497</v>
      </c>
      <c r="F29">
        <v>4.0380000000000003</v>
      </c>
      <c r="G29">
        <v>7211.7370000000001</v>
      </c>
      <c r="H29">
        <v>96777.782999999996</v>
      </c>
      <c r="J29">
        <v>249.26</v>
      </c>
      <c r="K29">
        <v>472.44</v>
      </c>
      <c r="L29">
        <f t="shared" si="0"/>
        <v>0.24925999999999998</v>
      </c>
      <c r="M29">
        <f t="shared" si="1"/>
        <v>0.47243999999999997</v>
      </c>
    </row>
    <row r="30" spans="2:13">
      <c r="B30">
        <v>8</v>
      </c>
      <c r="C30">
        <v>8.1000000000000003E-2</v>
      </c>
      <c r="D30">
        <v>1.147</v>
      </c>
      <c r="E30">
        <v>161.22300000000001</v>
      </c>
      <c r="F30">
        <v>19.942</v>
      </c>
      <c r="G30">
        <v>20214.775000000001</v>
      </c>
      <c r="H30">
        <v>132162.239</v>
      </c>
      <c r="J30">
        <v>207.3</v>
      </c>
      <c r="K30">
        <v>484.37</v>
      </c>
      <c r="L30">
        <f t="shared" si="0"/>
        <v>0.20730000000000001</v>
      </c>
      <c r="M30">
        <f t="shared" si="1"/>
        <v>0.48437000000000002</v>
      </c>
    </row>
    <row r="31" spans="2:13">
      <c r="B31">
        <v>9</v>
      </c>
      <c r="C31">
        <v>0.193</v>
      </c>
      <c r="D31">
        <v>0.49099999999999999</v>
      </c>
      <c r="E31">
        <v>29.585000000000001</v>
      </c>
      <c r="F31">
        <v>1.53</v>
      </c>
      <c r="G31">
        <v>8037.1540000000005</v>
      </c>
      <c r="H31">
        <v>28171.235000000001</v>
      </c>
      <c r="J31">
        <v>238.53</v>
      </c>
      <c r="K31">
        <v>516.09</v>
      </c>
      <c r="L31">
        <f t="shared" si="0"/>
        <v>0.23852999999999999</v>
      </c>
      <c r="M31">
        <f t="shared" si="1"/>
        <v>0.51609000000000005</v>
      </c>
    </row>
    <row r="32" spans="2:13">
      <c r="B32">
        <v>10</v>
      </c>
      <c r="C32">
        <v>0.157</v>
      </c>
      <c r="D32">
        <v>0.53900000000000003</v>
      </c>
      <c r="E32">
        <v>35.67</v>
      </c>
      <c r="F32">
        <v>2.2650000000000001</v>
      </c>
      <c r="G32">
        <v>3374.06</v>
      </c>
      <c r="H32">
        <v>40163.476999999999</v>
      </c>
      <c r="J32">
        <v>185.47</v>
      </c>
      <c r="K32">
        <v>609.1</v>
      </c>
      <c r="L32">
        <f t="shared" si="0"/>
        <v>0.18547</v>
      </c>
      <c r="M32">
        <f t="shared" si="1"/>
        <v>0.60909999999999997</v>
      </c>
    </row>
    <row r="33" spans="2:17">
      <c r="J33">
        <v>190.88</v>
      </c>
      <c r="K33">
        <v>573.79</v>
      </c>
    </row>
    <row r="34" spans="2:17">
      <c r="B34" t="s">
        <v>211</v>
      </c>
      <c r="C34" t="s">
        <v>212</v>
      </c>
      <c r="D34" t="s">
        <v>213</v>
      </c>
      <c r="E34" t="s">
        <v>214</v>
      </c>
      <c r="F34" t="s">
        <v>215</v>
      </c>
      <c r="G34" t="s">
        <v>216</v>
      </c>
      <c r="H34" t="s">
        <v>217</v>
      </c>
      <c r="J34">
        <v>224.68</v>
      </c>
      <c r="K34">
        <v>554.20000000000005</v>
      </c>
    </row>
    <row r="35" spans="2:17">
      <c r="B35">
        <v>357</v>
      </c>
      <c r="C35" t="s">
        <v>209</v>
      </c>
      <c r="D35">
        <v>195</v>
      </c>
      <c r="E35">
        <v>310</v>
      </c>
      <c r="F35" t="s">
        <v>227</v>
      </c>
      <c r="G35">
        <v>0.182</v>
      </c>
      <c r="H35">
        <v>1.2969999999999999</v>
      </c>
      <c r="J35">
        <v>208.09</v>
      </c>
      <c r="K35">
        <v>543.94000000000005</v>
      </c>
    </row>
    <row r="36" spans="2:17">
      <c r="B36" t="s">
        <v>219</v>
      </c>
      <c r="C36" t="s">
        <v>3</v>
      </c>
      <c r="D36" t="s">
        <v>220</v>
      </c>
      <c r="E36" t="s">
        <v>207</v>
      </c>
      <c r="F36" t="s">
        <v>221</v>
      </c>
      <c r="G36" t="s">
        <v>222</v>
      </c>
      <c r="H36" t="s">
        <v>223</v>
      </c>
    </row>
    <row r="37" spans="2:17">
      <c r="B37" t="s">
        <v>224</v>
      </c>
      <c r="C37">
        <v>3.798</v>
      </c>
      <c r="D37">
        <v>17.111000000000001</v>
      </c>
    </row>
    <row r="38" spans="2:17">
      <c r="B38" t="s">
        <v>225</v>
      </c>
      <c r="C38">
        <v>0.13100000000000001</v>
      </c>
      <c r="D38">
        <v>0.59</v>
      </c>
    </row>
    <row r="39" spans="2:17">
      <c r="B39" t="s">
        <v>226</v>
      </c>
      <c r="C39">
        <v>0.03</v>
      </c>
      <c r="D39">
        <v>0.253</v>
      </c>
      <c r="J39" t="s">
        <v>228</v>
      </c>
      <c r="K39" t="s">
        <v>229</v>
      </c>
      <c r="L39" t="s">
        <v>230</v>
      </c>
      <c r="M39" t="s">
        <v>231</v>
      </c>
    </row>
    <row r="40" spans="2:17">
      <c r="B40">
        <v>1</v>
      </c>
      <c r="C40" s="23">
        <v>0.154</v>
      </c>
      <c r="D40" s="24">
        <v>0.39100000000000001</v>
      </c>
      <c r="E40">
        <v>18.776</v>
      </c>
      <c r="F40">
        <v>1.2230000000000001</v>
      </c>
      <c r="G40">
        <v>2056.16</v>
      </c>
      <c r="H40">
        <v>44619.025000000001</v>
      </c>
      <c r="J40">
        <v>153.51</v>
      </c>
      <c r="K40">
        <v>391.34</v>
      </c>
      <c r="L40">
        <f>J40/1000</f>
        <v>0.15350999999999998</v>
      </c>
      <c r="M40">
        <f>K40/1000</f>
        <v>0.39133999999999997</v>
      </c>
      <c r="N40" s="23">
        <f>C40-L40</f>
        <v>4.900000000000182E-4</v>
      </c>
      <c r="O40" s="24">
        <f>D40-M40</f>
        <v>-3.3999999999995145E-4</v>
      </c>
      <c r="P40" s="25">
        <f>N40/C40</f>
        <v>3.1818181818182999E-3</v>
      </c>
      <c r="Q40" s="25">
        <f>O40/D40</f>
        <v>-8.6956521739118013E-4</v>
      </c>
    </row>
    <row r="41" spans="2:17">
      <c r="B41">
        <v>2</v>
      </c>
      <c r="C41" s="23">
        <v>0.14000000000000001</v>
      </c>
      <c r="D41" s="24">
        <v>0.41199999999999998</v>
      </c>
      <c r="E41">
        <v>20.786000000000001</v>
      </c>
      <c r="F41">
        <v>1.48</v>
      </c>
      <c r="G41">
        <v>2294.21</v>
      </c>
      <c r="H41">
        <v>51922.887000000002</v>
      </c>
      <c r="J41">
        <v>140.38999999999999</v>
      </c>
      <c r="K41">
        <v>411.76</v>
      </c>
      <c r="L41">
        <f t="shared" ref="L41:L67" si="2">J41/1000</f>
        <v>0.14038999999999999</v>
      </c>
      <c r="M41">
        <f t="shared" ref="M41:M67" si="3">K41/1000</f>
        <v>0.41176000000000001</v>
      </c>
      <c r="N41" s="23">
        <f t="shared" ref="N41:N67" si="4">C41-L41</f>
        <v>-3.899999999999737E-4</v>
      </c>
      <c r="O41" s="24">
        <f t="shared" ref="O41:O67" si="5">D41-M41</f>
        <v>2.3999999999996247E-4</v>
      </c>
      <c r="P41" s="25">
        <f t="shared" ref="P41:P67" si="6">N41/C41</f>
        <v>-2.7857142857140977E-3</v>
      </c>
      <c r="Q41" s="25">
        <f t="shared" ref="Q41:Q67" si="7">O41/D41</f>
        <v>5.8252427184456916E-4</v>
      </c>
    </row>
    <row r="42" spans="2:17">
      <c r="B42">
        <v>3</v>
      </c>
      <c r="C42" s="23">
        <v>0.13700000000000001</v>
      </c>
      <c r="D42" s="24">
        <v>0.41</v>
      </c>
      <c r="E42">
        <v>20.63</v>
      </c>
      <c r="F42">
        <v>1.51</v>
      </c>
      <c r="G42">
        <v>2467.518</v>
      </c>
      <c r="H42">
        <v>54571.794000000002</v>
      </c>
      <c r="J42">
        <v>136.62</v>
      </c>
      <c r="K42">
        <v>410.21</v>
      </c>
      <c r="L42">
        <f t="shared" si="2"/>
        <v>0.13661999999999999</v>
      </c>
      <c r="M42">
        <f t="shared" si="3"/>
        <v>0.41020999999999996</v>
      </c>
      <c r="N42" s="23">
        <f t="shared" si="4"/>
        <v>3.8000000000001921E-4</v>
      </c>
      <c r="O42" s="24">
        <f t="shared" si="5"/>
        <v>-2.0999999999998797E-4</v>
      </c>
      <c r="P42" s="25">
        <f t="shared" si="6"/>
        <v>2.7737226277373662E-3</v>
      </c>
      <c r="Q42" s="25">
        <f t="shared" si="7"/>
        <v>-5.1219512195119026E-4</v>
      </c>
    </row>
    <row r="43" spans="2:17">
      <c r="B43">
        <v>4</v>
      </c>
      <c r="C43" s="23">
        <v>0.13500000000000001</v>
      </c>
      <c r="D43" s="24">
        <v>0.39</v>
      </c>
      <c r="E43">
        <v>18.646000000000001</v>
      </c>
      <c r="F43">
        <v>1.383</v>
      </c>
      <c r="G43">
        <v>2371.9630000000002</v>
      </c>
      <c r="H43">
        <v>56457.775000000001</v>
      </c>
      <c r="J43">
        <v>134.81</v>
      </c>
      <c r="K43">
        <v>389.98</v>
      </c>
      <c r="L43">
        <f t="shared" si="2"/>
        <v>0.13481000000000001</v>
      </c>
      <c r="M43">
        <f t="shared" si="3"/>
        <v>0.38997999999999999</v>
      </c>
      <c r="N43" s="23">
        <f t="shared" si="4"/>
        <v>1.8999999999999573E-4</v>
      </c>
      <c r="O43" s="24">
        <f t="shared" si="5"/>
        <v>2.0000000000020002E-5</v>
      </c>
      <c r="P43" s="25">
        <f t="shared" si="6"/>
        <v>1.4074074074073757E-3</v>
      </c>
      <c r="Q43" s="25">
        <f t="shared" si="7"/>
        <v>5.1282051282102569E-5</v>
      </c>
    </row>
    <row r="44" spans="2:17">
      <c r="B44">
        <v>5</v>
      </c>
      <c r="C44" s="23">
        <v>0.151</v>
      </c>
      <c r="D44" s="24">
        <v>0.34300000000000003</v>
      </c>
      <c r="E44">
        <v>14.417999999999999</v>
      </c>
      <c r="F44">
        <v>0.95199999999999996</v>
      </c>
      <c r="G44">
        <v>1777.425</v>
      </c>
      <c r="H44">
        <v>47022.696000000004</v>
      </c>
      <c r="J44">
        <v>151.43</v>
      </c>
      <c r="K44">
        <v>362.94</v>
      </c>
      <c r="L44">
        <f t="shared" si="2"/>
        <v>0.15143000000000001</v>
      </c>
      <c r="M44">
        <f t="shared" si="3"/>
        <v>0.36293999999999998</v>
      </c>
      <c r="N44" s="23">
        <f t="shared" si="4"/>
        <v>-4.300000000000137E-4</v>
      </c>
      <c r="O44" s="24">
        <f t="shared" si="5"/>
        <v>-1.9939999999999958E-2</v>
      </c>
      <c r="P44" s="25">
        <f t="shared" si="6"/>
        <v>-2.8476821192053889E-3</v>
      </c>
      <c r="Q44" s="25">
        <f t="shared" si="7"/>
        <v>-5.8134110787171886E-2</v>
      </c>
    </row>
    <row r="45" spans="2:17">
      <c r="B45">
        <v>6</v>
      </c>
      <c r="C45" s="23">
        <v>0.16600000000000001</v>
      </c>
      <c r="D45" s="24">
        <v>0.40500000000000003</v>
      </c>
      <c r="E45">
        <v>20.135999999999999</v>
      </c>
      <c r="F45">
        <v>1.216</v>
      </c>
      <c r="G45">
        <v>1699.203</v>
      </c>
      <c r="H45">
        <v>38696.161999999997</v>
      </c>
      <c r="J45">
        <v>145.56</v>
      </c>
      <c r="K45">
        <v>405.26</v>
      </c>
      <c r="L45">
        <f t="shared" si="2"/>
        <v>0.14555999999999999</v>
      </c>
      <c r="M45">
        <f t="shared" si="3"/>
        <v>0.40526000000000001</v>
      </c>
      <c r="N45" s="23">
        <f t="shared" si="4"/>
        <v>2.0440000000000014E-2</v>
      </c>
      <c r="O45" s="24">
        <f t="shared" si="5"/>
        <v>-2.5999999999998247E-4</v>
      </c>
      <c r="P45" s="25">
        <f t="shared" si="6"/>
        <v>0.123132530120482</v>
      </c>
      <c r="Q45" s="25">
        <f t="shared" si="7"/>
        <v>-6.4197530864193192E-4</v>
      </c>
    </row>
    <row r="46" spans="2:17">
      <c r="B46">
        <v>7</v>
      </c>
      <c r="C46" s="23">
        <v>0.14799999999999999</v>
      </c>
      <c r="D46" s="24">
        <v>0.49199999999999999</v>
      </c>
      <c r="E46">
        <v>29.696000000000002</v>
      </c>
      <c r="F46">
        <v>2.0110000000000001</v>
      </c>
      <c r="G46">
        <v>2748.19</v>
      </c>
      <c r="H46">
        <v>45900.836000000003</v>
      </c>
      <c r="J46">
        <v>147.61000000000001</v>
      </c>
      <c r="K46">
        <v>492.15</v>
      </c>
      <c r="L46">
        <f t="shared" si="2"/>
        <v>0.14761000000000002</v>
      </c>
      <c r="M46">
        <f t="shared" si="3"/>
        <v>0.49214999999999998</v>
      </c>
      <c r="N46" s="23">
        <f t="shared" si="4"/>
        <v>3.899999999999737E-4</v>
      </c>
      <c r="O46" s="24">
        <f t="shared" si="5"/>
        <v>-1.4999999999998348E-4</v>
      </c>
      <c r="P46" s="25">
        <f t="shared" si="6"/>
        <v>2.6351351351349577E-3</v>
      </c>
      <c r="Q46" s="25">
        <f t="shared" si="7"/>
        <v>-3.0487804878045425E-4</v>
      </c>
    </row>
    <row r="47" spans="2:17">
      <c r="B47">
        <v>8</v>
      </c>
      <c r="C47" s="23">
        <v>8.5999999999999993E-2</v>
      </c>
      <c r="D47" s="24">
        <v>1.1180000000000001</v>
      </c>
      <c r="E47">
        <v>153.30500000000001</v>
      </c>
      <c r="F47">
        <v>17.742000000000001</v>
      </c>
      <c r="G47">
        <v>17244.293000000001</v>
      </c>
      <c r="H47">
        <v>116266.60400000001</v>
      </c>
      <c r="J47">
        <v>86.38</v>
      </c>
      <c r="K47">
        <v>1118.1500000000001</v>
      </c>
      <c r="L47">
        <f t="shared" si="2"/>
        <v>8.6379999999999998E-2</v>
      </c>
      <c r="M47">
        <f t="shared" si="3"/>
        <v>1.1181500000000002</v>
      </c>
      <c r="N47" s="23">
        <f t="shared" si="4"/>
        <v>-3.8000000000000533E-4</v>
      </c>
      <c r="O47" s="24">
        <f t="shared" si="5"/>
        <v>-1.500000000000945E-4</v>
      </c>
      <c r="P47" s="25">
        <f t="shared" si="6"/>
        <v>-4.4186046511628533E-3</v>
      </c>
      <c r="Q47" s="25">
        <f t="shared" si="7"/>
        <v>-1.3416815742405588E-4</v>
      </c>
    </row>
    <row r="48" spans="2:17">
      <c r="B48">
        <v>9</v>
      </c>
      <c r="C48" s="23">
        <v>0.161</v>
      </c>
      <c r="D48" s="24">
        <v>0.40300000000000002</v>
      </c>
      <c r="E48">
        <v>19.899999999999999</v>
      </c>
      <c r="F48">
        <v>1.2390000000000001</v>
      </c>
      <c r="G48">
        <v>8779.6260000000002</v>
      </c>
      <c r="H48">
        <v>40906.559000000001</v>
      </c>
      <c r="J48">
        <v>160.61000000000001</v>
      </c>
      <c r="K48">
        <v>402.89</v>
      </c>
      <c r="L48">
        <f t="shared" si="2"/>
        <v>0.16061</v>
      </c>
      <c r="M48">
        <f t="shared" si="3"/>
        <v>0.40288999999999997</v>
      </c>
      <c r="N48" s="23">
        <f t="shared" si="4"/>
        <v>3.9000000000000146E-4</v>
      </c>
      <c r="O48" s="24">
        <f t="shared" si="5"/>
        <v>1.100000000000545E-4</v>
      </c>
      <c r="P48" s="25">
        <f t="shared" si="6"/>
        <v>2.4223602484472139E-3</v>
      </c>
      <c r="Q48" s="25">
        <f t="shared" si="7"/>
        <v>2.7295285359815009E-4</v>
      </c>
    </row>
    <row r="49" spans="2:17">
      <c r="B49">
        <v>10</v>
      </c>
      <c r="C49" s="23">
        <v>0.14599999999999999</v>
      </c>
      <c r="D49" s="24">
        <v>0.40600000000000003</v>
      </c>
      <c r="E49">
        <v>20.254000000000001</v>
      </c>
      <c r="F49">
        <v>1.39</v>
      </c>
      <c r="G49">
        <v>2244.5680000000002</v>
      </c>
      <c r="H49">
        <v>48699.319000000003</v>
      </c>
      <c r="J49">
        <v>145.65</v>
      </c>
      <c r="K49">
        <v>406.46</v>
      </c>
      <c r="L49">
        <f t="shared" si="2"/>
        <v>0.14565</v>
      </c>
      <c r="M49">
        <f t="shared" si="3"/>
        <v>0.40645999999999999</v>
      </c>
      <c r="N49" s="23">
        <f t="shared" si="4"/>
        <v>3.4999999999998921E-4</v>
      </c>
      <c r="O49" s="24">
        <f t="shared" si="5"/>
        <v>-4.5999999999996044E-4</v>
      </c>
      <c r="P49" s="25">
        <f t="shared" si="6"/>
        <v>2.3972602739725291E-3</v>
      </c>
      <c r="Q49" s="25">
        <f t="shared" si="7"/>
        <v>-1.1330049261082768E-3</v>
      </c>
    </row>
    <row r="50" spans="2:17">
      <c r="B50">
        <v>11</v>
      </c>
      <c r="C50" s="23">
        <v>0.13400000000000001</v>
      </c>
      <c r="D50" s="24">
        <v>0.38200000000000001</v>
      </c>
      <c r="E50">
        <v>17.904</v>
      </c>
      <c r="F50">
        <v>1.3340000000000001</v>
      </c>
      <c r="G50">
        <v>2315.623</v>
      </c>
      <c r="H50">
        <v>57171.194000000003</v>
      </c>
      <c r="J50">
        <v>134.13999999999999</v>
      </c>
      <c r="K50">
        <v>382.16</v>
      </c>
      <c r="L50">
        <f t="shared" si="2"/>
        <v>0.13413999999999998</v>
      </c>
      <c r="M50">
        <f t="shared" si="3"/>
        <v>0.38216</v>
      </c>
      <c r="N50" s="23">
        <f t="shared" si="4"/>
        <v>-1.3999999999997348E-4</v>
      </c>
      <c r="O50" s="24">
        <f t="shared" si="5"/>
        <v>-1.5999999999999348E-4</v>
      </c>
      <c r="P50" s="25">
        <f t="shared" si="6"/>
        <v>-1.044776119402787E-3</v>
      </c>
      <c r="Q50" s="25">
        <f t="shared" si="7"/>
        <v>-4.1884816753924993E-4</v>
      </c>
    </row>
    <row r="51" spans="2:17">
      <c r="B51">
        <v>12</v>
      </c>
      <c r="C51" s="23">
        <v>0.17</v>
      </c>
      <c r="D51" s="24">
        <v>0.44700000000000001</v>
      </c>
      <c r="E51">
        <v>24.545000000000002</v>
      </c>
      <c r="F51">
        <v>1.446</v>
      </c>
      <c r="G51">
        <v>2036.2940000000001</v>
      </c>
      <c r="H51">
        <v>36267.987000000001</v>
      </c>
      <c r="J51">
        <v>169.72</v>
      </c>
      <c r="K51">
        <v>447.43</v>
      </c>
      <c r="L51">
        <f t="shared" si="2"/>
        <v>0.16972000000000001</v>
      </c>
      <c r="M51">
        <f t="shared" si="3"/>
        <v>0.44742999999999999</v>
      </c>
      <c r="N51" s="23">
        <f t="shared" si="4"/>
        <v>2.8000000000000247E-4</v>
      </c>
      <c r="O51" s="24">
        <f t="shared" si="5"/>
        <v>-4.2999999999998595E-4</v>
      </c>
      <c r="P51" s="25">
        <f t="shared" si="6"/>
        <v>1.6470588235294261E-3</v>
      </c>
      <c r="Q51" s="25">
        <f t="shared" si="7"/>
        <v>-9.6196868008945405E-4</v>
      </c>
    </row>
    <row r="52" spans="2:17">
      <c r="B52">
        <v>13</v>
      </c>
      <c r="C52" s="23">
        <v>0.182</v>
      </c>
      <c r="D52" s="24">
        <v>0.41099999999999998</v>
      </c>
      <c r="E52">
        <v>20.748999999999999</v>
      </c>
      <c r="F52">
        <v>1.1399999999999999</v>
      </c>
      <c r="G52">
        <v>2026.412</v>
      </c>
      <c r="H52">
        <v>32581.85</v>
      </c>
      <c r="J52">
        <v>181.96</v>
      </c>
      <c r="K52">
        <v>411.34</v>
      </c>
      <c r="L52">
        <f t="shared" si="2"/>
        <v>0.18196000000000001</v>
      </c>
      <c r="M52">
        <f t="shared" si="3"/>
        <v>0.41133999999999998</v>
      </c>
      <c r="N52" s="23">
        <f t="shared" si="4"/>
        <v>3.9999999999984492E-5</v>
      </c>
      <c r="O52" s="24">
        <f t="shared" si="5"/>
        <v>-3.4000000000000696E-4</v>
      </c>
      <c r="P52" s="25">
        <f t="shared" si="6"/>
        <v>2.1978021978013459E-4</v>
      </c>
      <c r="Q52" s="25">
        <f t="shared" si="7"/>
        <v>-8.2725060827252303E-4</v>
      </c>
    </row>
    <row r="53" spans="2:17">
      <c r="B53">
        <v>14</v>
      </c>
      <c r="C53" s="23">
        <v>0.17</v>
      </c>
      <c r="D53" s="24">
        <v>0.51200000000000001</v>
      </c>
      <c r="E53">
        <v>32.204999999999998</v>
      </c>
      <c r="F53">
        <v>1.8959999999999999</v>
      </c>
      <c r="G53">
        <v>2537.9189999999999</v>
      </c>
      <c r="H53">
        <v>35281.642999999996</v>
      </c>
      <c r="J53">
        <v>169.9</v>
      </c>
      <c r="K53">
        <v>512.51</v>
      </c>
      <c r="L53">
        <f t="shared" si="2"/>
        <v>0.1699</v>
      </c>
      <c r="M53">
        <f t="shared" si="3"/>
        <v>0.51251000000000002</v>
      </c>
      <c r="N53" s="23">
        <f t="shared" si="4"/>
        <v>1.0000000000001674E-4</v>
      </c>
      <c r="O53" s="24">
        <f t="shared" si="5"/>
        <v>-5.1000000000001044E-4</v>
      </c>
      <c r="P53" s="25">
        <f t="shared" si="6"/>
        <v>5.8823529411774545E-4</v>
      </c>
      <c r="Q53" s="25">
        <f t="shared" si="7"/>
        <v>-9.960937500000204E-4</v>
      </c>
    </row>
    <row r="54" spans="2:17">
      <c r="B54">
        <v>15</v>
      </c>
      <c r="C54" s="23">
        <v>0.123</v>
      </c>
      <c r="D54" s="24">
        <v>0.59699999999999998</v>
      </c>
      <c r="E54">
        <v>43.665999999999997</v>
      </c>
      <c r="F54">
        <v>3.5409999999999999</v>
      </c>
      <c r="G54">
        <v>5009.4229999999998</v>
      </c>
      <c r="H54">
        <v>62237.071000000004</v>
      </c>
      <c r="J54">
        <v>123.31</v>
      </c>
      <c r="K54">
        <v>596.76</v>
      </c>
      <c r="L54">
        <f t="shared" si="2"/>
        <v>0.12331</v>
      </c>
      <c r="M54">
        <f t="shared" si="3"/>
        <v>0.59675999999999996</v>
      </c>
      <c r="N54" s="23">
        <f t="shared" si="4"/>
        <v>-3.1000000000000472E-4</v>
      </c>
      <c r="O54" s="24">
        <f t="shared" si="5"/>
        <v>2.4000000000001798E-4</v>
      </c>
      <c r="P54" s="25">
        <f t="shared" si="6"/>
        <v>-2.5203252032520709E-3</v>
      </c>
      <c r="Q54" s="25">
        <f t="shared" si="7"/>
        <v>4.0201005025128643E-4</v>
      </c>
    </row>
    <row r="55" spans="2:17">
      <c r="B55">
        <v>16</v>
      </c>
      <c r="C55" s="23">
        <v>0.11899999999999999</v>
      </c>
      <c r="D55" s="24">
        <v>0.53600000000000003</v>
      </c>
      <c r="E55">
        <v>35.180999999999997</v>
      </c>
      <c r="F55">
        <v>2.95</v>
      </c>
      <c r="G55">
        <v>5382.643</v>
      </c>
      <c r="H55">
        <v>67195.34</v>
      </c>
      <c r="J55">
        <v>119.25</v>
      </c>
      <c r="K55">
        <v>535.70000000000005</v>
      </c>
      <c r="L55">
        <f t="shared" si="2"/>
        <v>0.11924999999999999</v>
      </c>
      <c r="M55">
        <f t="shared" si="3"/>
        <v>0.53570000000000007</v>
      </c>
      <c r="N55" s="23">
        <f t="shared" si="4"/>
        <v>-2.5000000000000022E-4</v>
      </c>
      <c r="O55" s="24">
        <f t="shared" si="5"/>
        <v>2.9999999999996696E-4</v>
      </c>
      <c r="P55" s="25">
        <f t="shared" si="6"/>
        <v>-2.1008403361344559E-3</v>
      </c>
      <c r="Q55" s="25">
        <f t="shared" si="7"/>
        <v>5.5970149253725177E-4</v>
      </c>
    </row>
    <row r="56" spans="2:17">
      <c r="B56">
        <v>17</v>
      </c>
      <c r="C56" s="23">
        <v>0.111</v>
      </c>
      <c r="D56" s="24">
        <v>0.68799999999999994</v>
      </c>
      <c r="E56">
        <v>58.048000000000002</v>
      </c>
      <c r="F56">
        <v>5.234</v>
      </c>
      <c r="G56">
        <v>6844.6570000000002</v>
      </c>
      <c r="H56">
        <v>74751.224000000002</v>
      </c>
      <c r="J56">
        <v>111.29</v>
      </c>
      <c r="K56">
        <v>687.63</v>
      </c>
      <c r="L56">
        <f t="shared" si="2"/>
        <v>0.11129</v>
      </c>
      <c r="M56">
        <f t="shared" si="3"/>
        <v>0.68762999999999996</v>
      </c>
      <c r="N56" s="23">
        <f t="shared" si="4"/>
        <v>-2.8999999999999859E-4</v>
      </c>
      <c r="O56" s="24">
        <f t="shared" si="5"/>
        <v>3.6999999999998145E-4</v>
      </c>
      <c r="P56" s="25">
        <f t="shared" si="6"/>
        <v>-2.6126126126125998E-3</v>
      </c>
      <c r="Q56" s="25">
        <f t="shared" si="7"/>
        <v>5.3779069767439169E-4</v>
      </c>
    </row>
    <row r="57" spans="2:17">
      <c r="B57">
        <v>18</v>
      </c>
      <c r="C57" s="23">
        <v>0.10100000000000001</v>
      </c>
      <c r="D57" s="24">
        <v>0.78800000000000003</v>
      </c>
      <c r="E57">
        <v>76.183000000000007</v>
      </c>
      <c r="F57">
        <v>7.577</v>
      </c>
      <c r="G57">
        <v>10869.517</v>
      </c>
      <c r="H57">
        <v>88922.221000000005</v>
      </c>
      <c r="J57">
        <v>100.52</v>
      </c>
      <c r="K57">
        <v>788.23</v>
      </c>
      <c r="L57">
        <f t="shared" si="2"/>
        <v>0.10052</v>
      </c>
      <c r="M57">
        <f t="shared" si="3"/>
        <v>0.78822999999999999</v>
      </c>
      <c r="N57" s="23">
        <f t="shared" si="4"/>
        <v>4.800000000000082E-4</v>
      </c>
      <c r="O57" s="24">
        <f t="shared" si="5"/>
        <v>-2.2999999999995246E-4</v>
      </c>
      <c r="P57" s="25">
        <f t="shared" si="6"/>
        <v>4.752475247524833E-3</v>
      </c>
      <c r="Q57" s="25">
        <f t="shared" si="7"/>
        <v>-2.9187817258877213E-4</v>
      </c>
    </row>
    <row r="58" spans="2:17">
      <c r="B58">
        <v>19</v>
      </c>
      <c r="C58" s="23">
        <v>0.114</v>
      </c>
      <c r="D58" s="24">
        <v>0.64600000000000002</v>
      </c>
      <c r="E58">
        <v>51.249000000000002</v>
      </c>
      <c r="F58">
        <v>4.4989999999999997</v>
      </c>
      <c r="G58">
        <v>9109.3989999999994</v>
      </c>
      <c r="H58">
        <v>71558.218999999997</v>
      </c>
      <c r="J58">
        <v>113.89</v>
      </c>
      <c r="K58">
        <v>646.51</v>
      </c>
      <c r="L58">
        <f t="shared" si="2"/>
        <v>0.11389000000000001</v>
      </c>
      <c r="M58">
        <f t="shared" si="3"/>
        <v>0.64651000000000003</v>
      </c>
      <c r="N58" s="23">
        <f t="shared" si="4"/>
        <v>1.0999999999999899E-4</v>
      </c>
      <c r="O58" s="24">
        <f t="shared" si="5"/>
        <v>-5.1000000000001044E-4</v>
      </c>
      <c r="P58" s="25">
        <f t="shared" si="6"/>
        <v>9.6491228070174544E-4</v>
      </c>
      <c r="Q58" s="25">
        <f t="shared" si="7"/>
        <v>-7.8947368421054245E-4</v>
      </c>
    </row>
    <row r="59" spans="2:17">
      <c r="B59">
        <v>20</v>
      </c>
      <c r="C59" s="23">
        <v>0.14699999999999999</v>
      </c>
      <c r="D59" s="24">
        <v>0.70799999999999996</v>
      </c>
      <c r="E59">
        <v>61.430999999999997</v>
      </c>
      <c r="F59">
        <v>4.1840000000000002</v>
      </c>
      <c r="G59">
        <v>6249.1909999999998</v>
      </c>
      <c r="H59">
        <v>43931.69</v>
      </c>
      <c r="J59">
        <v>146.78</v>
      </c>
      <c r="K59">
        <v>707.83</v>
      </c>
      <c r="L59">
        <f t="shared" si="2"/>
        <v>0.14677999999999999</v>
      </c>
      <c r="M59">
        <f t="shared" si="3"/>
        <v>0.70783000000000007</v>
      </c>
      <c r="N59" s="23">
        <f t="shared" si="4"/>
        <v>2.1999999999999797E-4</v>
      </c>
      <c r="O59" s="24">
        <f t="shared" si="5"/>
        <v>1.6999999999989246E-4</v>
      </c>
      <c r="P59" s="25">
        <f t="shared" si="6"/>
        <v>1.4965986394557685E-3</v>
      </c>
      <c r="Q59" s="25">
        <f t="shared" si="7"/>
        <v>2.4011299435013062E-4</v>
      </c>
    </row>
    <row r="60" spans="2:17">
      <c r="B60">
        <v>21</v>
      </c>
      <c r="C60" s="23">
        <v>8.8999999999999996E-2</v>
      </c>
      <c r="D60" s="24">
        <v>0.35099999999999998</v>
      </c>
      <c r="E60">
        <v>15.145</v>
      </c>
      <c r="F60">
        <v>1.7090000000000001</v>
      </c>
      <c r="G60">
        <v>7035.4049999999997</v>
      </c>
      <c r="H60">
        <v>123894.625</v>
      </c>
      <c r="J60">
        <v>88.6</v>
      </c>
      <c r="K60">
        <v>351.47</v>
      </c>
      <c r="L60">
        <f t="shared" si="2"/>
        <v>8.8599999999999998E-2</v>
      </c>
      <c r="M60">
        <f t="shared" si="3"/>
        <v>0.35147</v>
      </c>
      <c r="N60" s="23">
        <f t="shared" si="4"/>
        <v>3.9999999999999758E-4</v>
      </c>
      <c r="O60" s="24">
        <f t="shared" si="5"/>
        <v>-4.7000000000002595E-4</v>
      </c>
      <c r="P60" s="25">
        <f t="shared" si="6"/>
        <v>4.4943820224718828E-3</v>
      </c>
      <c r="Q60" s="25">
        <f t="shared" si="7"/>
        <v>-1.339031339031413E-3</v>
      </c>
    </row>
    <row r="61" spans="2:17">
      <c r="B61">
        <v>22</v>
      </c>
      <c r="C61" s="23">
        <v>9.9000000000000005E-2</v>
      </c>
      <c r="D61" s="24">
        <v>0.50800000000000001</v>
      </c>
      <c r="E61">
        <v>31.704999999999998</v>
      </c>
      <c r="F61">
        <v>3.2090000000000001</v>
      </c>
      <c r="G61">
        <v>3861.2840000000001</v>
      </c>
      <c r="H61">
        <v>96228.384000000005</v>
      </c>
      <c r="J61">
        <v>98.78</v>
      </c>
      <c r="K61">
        <v>508.52</v>
      </c>
      <c r="L61">
        <f t="shared" si="2"/>
        <v>9.8780000000000007E-2</v>
      </c>
      <c r="M61">
        <f t="shared" si="3"/>
        <v>0.50851999999999997</v>
      </c>
      <c r="N61" s="23">
        <f t="shared" si="4"/>
        <v>2.1999999999999797E-4</v>
      </c>
      <c r="O61" s="24">
        <f t="shared" si="5"/>
        <v>-5.1999999999996493E-4</v>
      </c>
      <c r="P61" s="25">
        <f t="shared" si="6"/>
        <v>2.2222222222222018E-3</v>
      </c>
      <c r="Q61" s="25">
        <f t="shared" si="7"/>
        <v>-1.0236220472440254E-3</v>
      </c>
    </row>
    <row r="62" spans="2:17">
      <c r="B62">
        <v>23</v>
      </c>
      <c r="C62" s="23">
        <v>0.115</v>
      </c>
      <c r="D62" s="24">
        <v>0.88200000000000001</v>
      </c>
      <c r="E62">
        <v>95.384</v>
      </c>
      <c r="F62">
        <v>8.2629999999999999</v>
      </c>
      <c r="G62">
        <v>8963.9500000000007</v>
      </c>
      <c r="H62">
        <v>67616.835000000006</v>
      </c>
      <c r="J62">
        <v>115.41</v>
      </c>
      <c r="K62">
        <v>882</v>
      </c>
      <c r="L62">
        <f t="shared" si="2"/>
        <v>0.11541</v>
      </c>
      <c r="M62">
        <f t="shared" si="3"/>
        <v>0.88200000000000001</v>
      </c>
      <c r="N62" s="23">
        <f t="shared" si="4"/>
        <v>-4.099999999999937E-4</v>
      </c>
      <c r="O62" s="24">
        <f t="shared" si="5"/>
        <v>0</v>
      </c>
      <c r="P62" s="25">
        <f t="shared" si="6"/>
        <v>-3.5652173913042931E-3</v>
      </c>
      <c r="Q62" s="25">
        <f t="shared" si="7"/>
        <v>0</v>
      </c>
    </row>
    <row r="63" spans="2:17">
      <c r="B63">
        <v>24</v>
      </c>
      <c r="C63" s="23">
        <v>0.151</v>
      </c>
      <c r="D63" s="24">
        <v>0.89400000000000002</v>
      </c>
      <c r="E63">
        <v>98.02</v>
      </c>
      <c r="F63">
        <v>6.5030000000000001</v>
      </c>
      <c r="G63">
        <v>10447.683999999999</v>
      </c>
      <c r="H63">
        <v>40664.584000000003</v>
      </c>
      <c r="J63">
        <v>150.69</v>
      </c>
      <c r="K63">
        <v>894.11</v>
      </c>
      <c r="L63">
        <f t="shared" si="2"/>
        <v>0.15068999999999999</v>
      </c>
      <c r="M63">
        <f t="shared" si="3"/>
        <v>0.89410999999999996</v>
      </c>
      <c r="N63" s="23">
        <f t="shared" si="4"/>
        <v>3.1000000000000472E-4</v>
      </c>
      <c r="O63" s="24">
        <f t="shared" si="5"/>
        <v>-1.0999999999994348E-4</v>
      </c>
      <c r="P63" s="25">
        <f t="shared" si="6"/>
        <v>2.0529801324503626E-3</v>
      </c>
      <c r="Q63" s="25">
        <f t="shared" si="7"/>
        <v>-1.2304250559277792E-4</v>
      </c>
    </row>
    <row r="64" spans="2:17">
      <c r="B64">
        <v>25</v>
      </c>
      <c r="C64" s="23">
        <v>0.16</v>
      </c>
      <c r="D64" s="24">
        <v>0.71299999999999997</v>
      </c>
      <c r="E64">
        <v>62.276000000000003</v>
      </c>
      <c r="F64">
        <v>3.903</v>
      </c>
      <c r="G64">
        <v>8179.4560000000001</v>
      </c>
      <c r="H64">
        <v>37571.055</v>
      </c>
      <c r="J64">
        <v>159.52000000000001</v>
      </c>
      <c r="K64">
        <v>712.67</v>
      </c>
      <c r="L64">
        <f t="shared" si="2"/>
        <v>0.15952000000000002</v>
      </c>
      <c r="M64">
        <f t="shared" si="3"/>
        <v>0.71266999999999991</v>
      </c>
      <c r="N64" s="23">
        <f t="shared" si="4"/>
        <v>4.7999999999998044E-4</v>
      </c>
      <c r="O64" s="24">
        <f t="shared" si="5"/>
        <v>3.3000000000005247E-4</v>
      </c>
      <c r="P64" s="25">
        <f t="shared" si="6"/>
        <v>2.9999999999998778E-3</v>
      </c>
      <c r="Q64" s="25">
        <f t="shared" si="7"/>
        <v>4.6283309957931626E-4</v>
      </c>
    </row>
    <row r="65" spans="2:17">
      <c r="B65">
        <v>26</v>
      </c>
      <c r="C65" s="23">
        <v>8.3000000000000004E-2</v>
      </c>
      <c r="D65" s="24">
        <v>0.40300000000000002</v>
      </c>
      <c r="E65">
        <v>19.87</v>
      </c>
      <c r="F65">
        <v>2.3929999999999998</v>
      </c>
      <c r="G65">
        <v>8053.8050000000003</v>
      </c>
      <c r="H65">
        <v>137203.21</v>
      </c>
      <c r="J65">
        <v>83.03</v>
      </c>
      <c r="K65">
        <v>402.59</v>
      </c>
      <c r="L65">
        <f t="shared" si="2"/>
        <v>8.3030000000000007E-2</v>
      </c>
      <c r="M65">
        <f t="shared" si="3"/>
        <v>0.40258999999999995</v>
      </c>
      <c r="N65" s="23">
        <f t="shared" si="4"/>
        <v>-3.0000000000002247E-5</v>
      </c>
      <c r="O65" s="24">
        <f t="shared" si="5"/>
        <v>4.1000000000007697E-4</v>
      </c>
      <c r="P65" s="25">
        <f t="shared" si="6"/>
        <v>-3.6144578313255718E-4</v>
      </c>
      <c r="Q65" s="25">
        <f t="shared" si="7"/>
        <v>1.0173697270473374E-3</v>
      </c>
    </row>
    <row r="66" spans="2:17">
      <c r="B66">
        <v>27</v>
      </c>
      <c r="C66" s="23">
        <v>6.9000000000000006E-2</v>
      </c>
      <c r="D66" s="24">
        <v>1.0620000000000001</v>
      </c>
      <c r="E66">
        <v>138.19800000000001</v>
      </c>
      <c r="F66">
        <v>20.047000000000001</v>
      </c>
      <c r="G66">
        <v>18669.942999999999</v>
      </c>
      <c r="H66">
        <v>181050.15</v>
      </c>
      <c r="J66">
        <v>68.89</v>
      </c>
      <c r="K66">
        <v>1061.6500000000001</v>
      </c>
      <c r="L66">
        <f t="shared" si="2"/>
        <v>6.8890000000000007E-2</v>
      </c>
      <c r="M66">
        <f t="shared" si="3"/>
        <v>1.06165</v>
      </c>
      <c r="N66" s="23">
        <f t="shared" si="4"/>
        <v>1.0999999999999899E-4</v>
      </c>
      <c r="O66" s="24">
        <f t="shared" si="5"/>
        <v>3.5000000000007248E-4</v>
      </c>
      <c r="P66" s="25">
        <f t="shared" si="6"/>
        <v>1.5942028985507098E-3</v>
      </c>
      <c r="Q66" s="25">
        <f t="shared" si="7"/>
        <v>3.2956685499065206E-4</v>
      </c>
    </row>
    <row r="67" spans="2:17">
      <c r="B67">
        <v>28</v>
      </c>
      <c r="C67" s="23">
        <v>0.14199999999999999</v>
      </c>
      <c r="D67" s="24">
        <v>0.51400000000000001</v>
      </c>
      <c r="E67">
        <v>32.414999999999999</v>
      </c>
      <c r="F67">
        <v>2.2829999999999999</v>
      </c>
      <c r="G67">
        <v>9781.8649999999998</v>
      </c>
      <c r="H67">
        <v>48934.904000000002</v>
      </c>
      <c r="J67">
        <v>141.97999999999999</v>
      </c>
      <c r="K67">
        <v>514.17999999999995</v>
      </c>
      <c r="L67">
        <f t="shared" si="2"/>
        <v>0.14198</v>
      </c>
      <c r="M67">
        <f t="shared" si="3"/>
        <v>0.51417999999999997</v>
      </c>
      <c r="N67" s="23">
        <f t="shared" si="4"/>
        <v>1.9999999999992246E-5</v>
      </c>
      <c r="O67" s="24">
        <f t="shared" si="5"/>
        <v>-1.7999999999995797E-4</v>
      </c>
      <c r="P67" s="25">
        <f t="shared" si="6"/>
        <v>1.4084507042248063E-4</v>
      </c>
      <c r="Q67" s="25">
        <f t="shared" si="7"/>
        <v>-3.501945525291011E-4</v>
      </c>
    </row>
    <row r="68" spans="2:17">
      <c r="B68">
        <v>29</v>
      </c>
      <c r="C68" s="23">
        <v>9.7000000000000003E-2</v>
      </c>
      <c r="D68" s="24">
        <v>1.2969999999999999</v>
      </c>
      <c r="E68">
        <v>206.29900000000001</v>
      </c>
      <c r="F68">
        <v>21.161000000000001</v>
      </c>
      <c r="G68">
        <v>19937.633999999998</v>
      </c>
      <c r="H68">
        <v>91201.057000000001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2025-09-08T20:40:10Z</dcterms:created>
  <dcterms:modified xsi:type="dcterms:W3CDTF">2025-09-08T21:29:42Z</dcterms:modified>
</cp:coreProperties>
</file>